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k\Desktop\FantasyFootball\2017 Working Dir\"/>
    </mc:Choice>
  </mc:AlternateContent>
  <bookViews>
    <workbookView xWindow="0" yWindow="0" windowWidth="23040" windowHeight="9048" firstSheet="1" activeTab="3" xr2:uid="{C01C0519-7436-493B-A4BC-02C6458F01BC}"/>
  </bookViews>
  <sheets>
    <sheet name="MatchResults" sheetId="1" r:id="rId1"/>
    <sheet name="ByPlayer" sheetId="3" r:id="rId2"/>
    <sheet name="Intermediate" sheetId="4" r:id="rId3"/>
    <sheet name="Converted" sheetId="2" r:id="rId4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2" l="1"/>
  <c r="U4" i="2"/>
  <c r="U5" i="2"/>
  <c r="U6" i="2"/>
  <c r="U7" i="2"/>
  <c r="U8" i="2"/>
  <c r="U9" i="2"/>
  <c r="U10" i="2"/>
  <c r="U11" i="2"/>
  <c r="U12" i="2"/>
  <c r="U13" i="2"/>
  <c r="U14" i="2"/>
  <c r="U15" i="2"/>
  <c r="U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2" i="2"/>
  <c r="W4" i="2"/>
  <c r="W5" i="2"/>
  <c r="W6" i="2"/>
  <c r="W7" i="2"/>
  <c r="W8" i="2"/>
  <c r="W9" i="2"/>
  <c r="W10" i="2"/>
  <c r="W11" i="2"/>
  <c r="W12" i="2"/>
  <c r="W13" i="2"/>
  <c r="W14" i="2"/>
  <c r="W15" i="2"/>
  <c r="W3" i="2"/>
  <c r="W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2" i="2"/>
  <c r="O2" i="2"/>
  <c r="N2" i="2"/>
  <c r="AD11" i="2" l="1"/>
  <c r="V3" i="2"/>
  <c r="V4" i="2"/>
  <c r="AD4" i="2" s="1"/>
  <c r="V5" i="2"/>
  <c r="V6" i="2"/>
  <c r="V7" i="2"/>
  <c r="V8" i="2"/>
  <c r="V9" i="2"/>
  <c r="V10" i="2"/>
  <c r="V11" i="2"/>
  <c r="V12" i="2"/>
  <c r="V13" i="2"/>
  <c r="V14" i="2"/>
  <c r="V15" i="2"/>
  <c r="V2" i="2"/>
  <c r="AD2" i="2" s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2" i="2"/>
  <c r="O3" i="2"/>
  <c r="AD3" i="2" s="1"/>
  <c r="O4" i="2"/>
  <c r="O5" i="2"/>
  <c r="AD5" i="2" s="1"/>
  <c r="O6" i="2"/>
  <c r="AD6" i="2" s="1"/>
  <c r="O7" i="2"/>
  <c r="AD7" i="2" s="1"/>
  <c r="O8" i="2"/>
  <c r="AD8" i="2" s="1"/>
  <c r="O9" i="2"/>
  <c r="AD9" i="2" s="1"/>
  <c r="O10" i="2"/>
  <c r="AD10" i="2" s="1"/>
  <c r="O11" i="2"/>
  <c r="O12" i="2"/>
  <c r="AD12" i="2" s="1"/>
  <c r="O13" i="2"/>
  <c r="AD13" i="2" s="1"/>
  <c r="O14" i="2"/>
  <c r="AD14" i="2" s="1"/>
  <c r="O15" i="2"/>
  <c r="AD15" i="2" s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AF8" i="2" l="1"/>
  <c r="AG8" i="2" s="1"/>
  <c r="AF7" i="2"/>
  <c r="AG7" i="2" s="1"/>
  <c r="AF11" i="2"/>
  <c r="AG11" i="2" s="1"/>
  <c r="AF13" i="2"/>
  <c r="AG13" i="2" s="1"/>
  <c r="AF5" i="2"/>
  <c r="AG5" i="2" s="1"/>
  <c r="AF4" i="2"/>
  <c r="AG4" i="2" s="1"/>
  <c r="AF6" i="2"/>
  <c r="AG6" i="2" s="1"/>
  <c r="AF12" i="2"/>
  <c r="AG12" i="2" s="1"/>
  <c r="AF2" i="2"/>
  <c r="AG2" i="2" s="1"/>
  <c r="AF15" i="2"/>
  <c r="AG15" i="2" s="1"/>
  <c r="AF14" i="2"/>
  <c r="AG14" i="2" s="1"/>
  <c r="AF3" i="2"/>
  <c r="AG3" i="2" s="1"/>
  <c r="AF10" i="2"/>
  <c r="AG10" i="2" s="1"/>
  <c r="AF9" i="2"/>
  <c r="AG9" i="2" s="1"/>
  <c r="AE2" i="2"/>
  <c r="AE3" i="2"/>
  <c r="AE4" i="2"/>
  <c r="AE10" i="2"/>
  <c r="AE12" i="2"/>
  <c r="AE14" i="2"/>
  <c r="AE5" i="2"/>
  <c r="AE6" i="2"/>
  <c r="AE11" i="2"/>
  <c r="AE15" i="2"/>
  <c r="AE7" i="2"/>
  <c r="AE8" i="2"/>
  <c r="AE9" i="2"/>
  <c r="AE13" i="2"/>
</calcChain>
</file>

<file path=xl/sharedStrings.xml><?xml version="1.0" encoding="utf-8"?>
<sst xmlns="http://schemas.openxmlformats.org/spreadsheetml/2006/main" count="719" uniqueCount="241">
  <si>
    <t>Team 1 Name</t>
  </si>
  <si>
    <t>Team 2 Name</t>
  </si>
  <si>
    <t>Team 1 Score</t>
  </si>
  <si>
    <t>Team 2 Score</t>
  </si>
  <si>
    <t>Week</t>
  </si>
  <si>
    <t>Tommy Stupp</t>
  </si>
  <si>
    <t>Stefan Hanish</t>
  </si>
  <si>
    <t>James Horlacher</t>
  </si>
  <si>
    <t>Chandler Dalton</t>
  </si>
  <si>
    <t>Peter Condie</t>
  </si>
  <si>
    <t>Geoffrey Raclin</t>
  </si>
  <si>
    <t>Brendan Hart</t>
  </si>
  <si>
    <t>Richard Graney</t>
  </si>
  <si>
    <t>Andrew McDowell</t>
  </si>
  <si>
    <t>James Carman</t>
  </si>
  <si>
    <t>Trey Shmo</t>
  </si>
  <si>
    <t>Ozair Ferozuddin</t>
  </si>
  <si>
    <t>Erik Stryshak</t>
  </si>
  <si>
    <t>Charlie Frank</t>
  </si>
  <si>
    <t>Team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</si>
  <si>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</si>
  <si>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</si>
  <si>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</si>
  <si>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</si>
  <si>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</si>
  <si>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</si>
  <si>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</si>
  <si>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</si>
  <si>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</si>
  <si>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</si>
  <si>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</si>
  <si>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</si>
  <si>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Total</t>
  </si>
  <si>
    <t>Average</t>
  </si>
  <si>
    <t>5WA</t>
  </si>
  <si>
    <t>3WA</t>
  </si>
  <si>
    <t>nWeeeks</t>
  </si>
  <si>
    <t>Year</t>
  </si>
  <si>
    <t>YEAR</t>
  </si>
  <si>
    <t>WEEK</t>
  </si>
  <si>
    <t>TEAM_NAME</t>
  </si>
  <si>
    <t>QB_NAME</t>
  </si>
  <si>
    <t>QB_SCORE</t>
  </si>
  <si>
    <t>RB_NAME</t>
  </si>
  <si>
    <t>RB_SCORE</t>
  </si>
  <si>
    <t>RB_NAME.1</t>
  </si>
  <si>
    <t>RB_SCORE.1</t>
  </si>
  <si>
    <t>WR_NAME</t>
  </si>
  <si>
    <t>WR_SCORE</t>
  </si>
  <si>
    <t>WR_NAME.1</t>
  </si>
  <si>
    <t>WR_SCORE.1</t>
  </si>
  <si>
    <t>TE_NAME</t>
  </si>
  <si>
    <t>TE_SCORE</t>
  </si>
  <si>
    <t>DST_NAME</t>
  </si>
  <si>
    <t>DST_SCORE</t>
  </si>
  <si>
    <t>FLEX_NAME</t>
  </si>
  <si>
    <t>FLEX_POS</t>
  </si>
  <si>
    <t>FLEX_SCORE</t>
  </si>
  <si>
    <t>Andy Dalton</t>
  </si>
  <si>
    <t>LeSean McCoy</t>
  </si>
  <si>
    <t>Ty Montgomery</t>
  </si>
  <si>
    <t>Keenan Allen</t>
  </si>
  <si>
    <t>Sterling Shepard</t>
  </si>
  <si>
    <t>Jared Cook</t>
  </si>
  <si>
    <t>Vikings D/ST</t>
  </si>
  <si>
    <t>Jameis Winston</t>
  </si>
  <si>
    <t>Brandon Coleman</t>
  </si>
  <si>
    <t>wr</t>
  </si>
  <si>
    <t>Russell Wilson</t>
  </si>
  <si>
    <t>Todd Gurley</t>
  </si>
  <si>
    <t>David Johnson</t>
  </si>
  <si>
    <t>Dez Bryant</t>
  </si>
  <si>
    <t>Allen Robinson</t>
  </si>
  <si>
    <t>Travis Kelce</t>
  </si>
  <si>
    <t>Panthers D/ST</t>
  </si>
  <si>
    <t>Terrance West</t>
  </si>
  <si>
    <t>rb</t>
  </si>
  <si>
    <t>Pierre Garcon</t>
  </si>
  <si>
    <t>Jalen Richard</t>
  </si>
  <si>
    <t>Packers D/ST</t>
  </si>
  <si>
    <t>Cam Newton</t>
  </si>
  <si>
    <t>DeMarco Murray</t>
  </si>
  <si>
    <t>Kareem Hunt</t>
  </si>
  <si>
    <t>Demaryius Thomas</t>
  </si>
  <si>
    <t>Jeremy Maclin</t>
  </si>
  <si>
    <t>Jason Witten</t>
  </si>
  <si>
    <t>Jaguars D/ST</t>
  </si>
  <si>
    <t>Leonard Fournette</t>
  </si>
  <si>
    <t>Coby Fleener</t>
  </si>
  <si>
    <t>DeVante Parker</t>
  </si>
  <si>
    <t>Alex Smith</t>
  </si>
  <si>
    <t>Mark Ingram</t>
  </si>
  <si>
    <t>Derek Carr</t>
  </si>
  <si>
    <t>Isaiah Crowell</t>
  </si>
  <si>
    <t>Bilal Powell</t>
  </si>
  <si>
    <t>Doug Baldwin</t>
  </si>
  <si>
    <t>Mike Wallace</t>
  </si>
  <si>
    <t>Greg Olsen</t>
  </si>
  <si>
    <t>Eagles D/ST</t>
  </si>
  <si>
    <t>Tyrell Williams</t>
  </si>
  <si>
    <t>Jonathan Stewart</t>
  </si>
  <si>
    <t>Jermaine Kearse</t>
  </si>
  <si>
    <t>Zach Miller</t>
  </si>
  <si>
    <t>Marcus Mariota</t>
  </si>
  <si>
    <t>Christian McCaffrey</t>
  </si>
  <si>
    <t>Mike Gillislee</t>
  </si>
  <si>
    <t>Stefon Diggs</t>
  </si>
  <si>
    <t>Kendall Wright</t>
  </si>
  <si>
    <t>Jimmy Graham</t>
  </si>
  <si>
    <t>Bills D/ST</t>
  </si>
  <si>
    <t>Ezekiel Elliott</t>
  </si>
  <si>
    <t>Chris Hogan</t>
  </si>
  <si>
    <t>Ravens D/ST</t>
  </si>
  <si>
    <t>Jay Cutler</t>
  </si>
  <si>
    <t>Odell Beckham Jr.</t>
  </si>
  <si>
    <t>Hunter Henry</t>
  </si>
  <si>
    <t>Drew Brees</t>
  </si>
  <si>
    <t>Paul Perkins</t>
  </si>
  <si>
    <t>Devonta Freeman</t>
  </si>
  <si>
    <t>A.J. Green</t>
  </si>
  <si>
    <t>Golden Tate</t>
  </si>
  <si>
    <t>Martellus Bennett</t>
  </si>
  <si>
    <t>Giants D/ST</t>
  </si>
  <si>
    <t>Theo Riddick</t>
  </si>
  <si>
    <t>DeSean Jackson</t>
  </si>
  <si>
    <t>Marvin Jones Jr.</t>
  </si>
  <si>
    <t>LeGarrette Blount</t>
  </si>
  <si>
    <t>Horlacher</t>
  </si>
  <si>
    <t>Ben Roethlisberger</t>
  </si>
  <si>
    <t>Tevin Coleman</t>
  </si>
  <si>
    <t>Antonio Brown</t>
  </si>
  <si>
    <t>Brandin Cooks</t>
  </si>
  <si>
    <t>Antonio Gates</t>
  </si>
  <si>
    <t>Steelers D/ST</t>
  </si>
  <si>
    <t>Kelvin Benjamin</t>
  </si>
  <si>
    <t>Julius Thomas</t>
  </si>
  <si>
    <t>Raiders D/ST</t>
  </si>
  <si>
    <t>Jarvis Landry</t>
  </si>
  <si>
    <t>Tyrod Taylor</t>
  </si>
  <si>
    <t>Chris Carson</t>
  </si>
  <si>
    <t>Benjamin Watson</t>
  </si>
  <si>
    <t>Dolphins D/ST</t>
  </si>
  <si>
    <t>Titans D/ST</t>
  </si>
  <si>
    <t>Aaron Rodgers</t>
  </si>
  <si>
    <t>Marshawn Lynch</t>
  </si>
  <si>
    <t>Alfred Morris</t>
  </si>
  <si>
    <t>Larry Fitzgerald</t>
  </si>
  <si>
    <t>Terrelle Pryor Sr.</t>
  </si>
  <si>
    <t>Chiefs D/ST</t>
  </si>
  <si>
    <t>James White</t>
  </si>
  <si>
    <t>Jesse James</t>
  </si>
  <si>
    <t>Eric Decker</t>
  </si>
  <si>
    <t>Chris Johnson</t>
  </si>
  <si>
    <t>Marcedes Lewis</t>
  </si>
  <si>
    <t>Robert Woods</t>
  </si>
  <si>
    <t>Dak Prescott</t>
  </si>
  <si>
    <t>Jordan Howard</t>
  </si>
  <si>
    <t>Lamar Miller</t>
  </si>
  <si>
    <t>Tyreek Hill</t>
  </si>
  <si>
    <t>Randall Cobb</t>
  </si>
  <si>
    <t>Zach Ertz</t>
  </si>
  <si>
    <t>Cardinals D/ST</t>
  </si>
  <si>
    <t>Brandon Marshall</t>
  </si>
  <si>
    <t>Chris Thompson</t>
  </si>
  <si>
    <t>J.J. Nelson</t>
  </si>
  <si>
    <t>Matt Ryan</t>
  </si>
  <si>
    <t>Carlos Hyde</t>
  </si>
  <si>
    <t>Dion Lewis</t>
  </si>
  <si>
    <t>DeAndre Hopkins</t>
  </si>
  <si>
    <t>Davante Adams</t>
  </si>
  <si>
    <t>Kyle Rudolph</t>
  </si>
  <si>
    <t>Broncos D/ST</t>
  </si>
  <si>
    <t>Emmanuel Sanders</t>
  </si>
  <si>
    <t>Jay Ajayi</t>
  </si>
  <si>
    <t>Charles Clay</t>
  </si>
  <si>
    <t>Sam Bradford</t>
  </si>
  <si>
    <t>Dalvin Cook</t>
  </si>
  <si>
    <t>Frank Gore</t>
  </si>
  <si>
    <t>Michael Thomas</t>
  </si>
  <si>
    <t>Cole Beasley</t>
  </si>
  <si>
    <t>Jordan Reed</t>
  </si>
  <si>
    <t>Bengals D/ST</t>
  </si>
  <si>
    <t>Rishard Matthews</t>
  </si>
  <si>
    <t>Trevor Siemian</t>
  </si>
  <si>
    <t>Mike Evans</t>
  </si>
  <si>
    <t>Cooper Kupp</t>
  </si>
  <si>
    <t>Eric Ebron</t>
  </si>
  <si>
    <t>Patriots D/ST</t>
  </si>
  <si>
    <t>Kirk Cousins</t>
  </si>
  <si>
    <t>Le'Veon Bell</t>
  </si>
  <si>
    <t>Melvin Gordon</t>
  </si>
  <si>
    <t>Alshon Jeffery</t>
  </si>
  <si>
    <t>Michael Crabtree</t>
  </si>
  <si>
    <t>Jack Doyle</t>
  </si>
  <si>
    <t>Martavis Bryant</t>
  </si>
  <si>
    <t>Cameron Brate</t>
  </si>
  <si>
    <t>Buccaneers D/ST</t>
  </si>
  <si>
    <t>Wendell Smallwood</t>
  </si>
  <si>
    <t>Tom Brady</t>
  </si>
  <si>
    <t>Adrian Peterson</t>
  </si>
  <si>
    <t>C.J. Anderson</t>
  </si>
  <si>
    <t>Julio Jones</t>
  </si>
  <si>
    <t>T.Y. Hilton</t>
  </si>
  <si>
    <t>Delanie Walker</t>
  </si>
  <si>
    <t>Seahawks D/ST</t>
  </si>
  <si>
    <t>Eddie Lacy</t>
  </si>
  <si>
    <t>Jacquizz Rodgers</t>
  </si>
  <si>
    <t>Javorius Allen</t>
  </si>
  <si>
    <t>Carson Wentz</t>
  </si>
  <si>
    <t>Danny Woodhead</t>
  </si>
  <si>
    <t>Duke Johnson Jr.</t>
  </si>
  <si>
    <t>Amari Cooper</t>
  </si>
  <si>
    <t>Jordy Nelson</t>
  </si>
  <si>
    <t>Rob Gronkowski</t>
  </si>
  <si>
    <t>Texans D/ST</t>
  </si>
  <si>
    <t>Sammy Watkins</t>
  </si>
  <si>
    <t>Joe Mixon</t>
  </si>
  <si>
    <t>Kerwynn Williams</t>
  </si>
  <si>
    <t>Colts D/ST</t>
  </si>
  <si>
    <t>Rank</t>
  </si>
  <si>
    <t>Player STD</t>
  </si>
  <si>
    <t>Rob Kelley</t>
  </si>
  <si>
    <t>Willie Snead</t>
  </si>
  <si>
    <t>Corey Davis</t>
  </si>
  <si>
    <t>Jordan Matthews</t>
  </si>
  <si>
    <t>Darren Sproles</t>
  </si>
  <si>
    <t>Team STD</t>
  </si>
  <si>
    <t>Team High</t>
  </si>
  <si>
    <t>Team Low</t>
  </si>
  <si>
    <t>Player High</t>
  </si>
  <si>
    <t>Player Low</t>
  </si>
  <si>
    <t>Player AVE</t>
  </si>
  <si>
    <t>Player Med</t>
  </si>
  <si>
    <t>Median</t>
  </si>
  <si>
    <t>Rank Value</t>
  </si>
  <si>
    <t>Top 3 AVE</t>
  </si>
  <si>
    <t>Bot 3 AVE</t>
  </si>
  <si>
    <t>TEAM</t>
  </si>
  <si>
    <t>VALUE</t>
  </si>
  <si>
    <t>Percentile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</si>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</sst>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2" fontId="2" fillId="0" borderId="0" xfId="0" applyNumberFormat="1" applyFont="1" applyAlignment="1">
      <alignment horizontal="center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Converted!$AJ$1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Converted!$AI$2:$AI$15</c:f>
              <c:strCache>
                <c:ptCount val="14"/>
                <c:pt idx="0">
                  <c:v>Brendan Hart</c:v>
                </c:pt>
                <c:pt idx="1">
                  <c:v>Erik Stryshak</c:v>
                </c:pt>
                <c:pt idx="2">
                  <c:v>Chandler Dalton</c:v>
                </c:pt>
                <c:pt idx="3">
                  <c:v>Ozair Ferozuddin</c:v>
                </c:pt>
                <c:pt idx="4">
                  <c:v>Peter Condie</c:v>
                </c:pt>
                <c:pt idx="5">
                  <c:v>Richard Graney</c:v>
                </c:pt>
                <c:pt idx="6">
                  <c:v>Trey Shmo</c:v>
                </c:pt>
                <c:pt idx="7">
                  <c:v>Tommy Stupp</c:v>
                </c:pt>
                <c:pt idx="8">
                  <c:v>Geoffrey Raclin</c:v>
                </c:pt>
                <c:pt idx="9">
                  <c:v>Andrew McDowell</c:v>
                </c:pt>
                <c:pt idx="10">
                  <c:v>Stefan Hanish</c:v>
                </c:pt>
                <c:pt idx="11">
                  <c:v>James Horlacher</c:v>
                </c:pt>
                <c:pt idx="12">
                  <c:v>James Carman</c:v>
                </c:pt>
                <c:pt idx="13">
                  <c:v>Charlie Frank</c:v>
                </c:pt>
              </c:strCache>
            </c:strRef>
          </c:cat>
          <c:val>
            <c:numRef>
              <c:f>Converted!$AJ$2:$AJ$15</c:f>
              <c:numCache>
                <c:formatCode>0.00</c:formatCode>
                <c:ptCount val="14"/>
                <c:pt idx="0">
                  <c:v>131.25062769450548</c:v>
                </c:pt>
                <c:pt idx="1">
                  <c:v>129.35399960774623</c:v>
                </c:pt>
                <c:pt idx="2">
                  <c:v>125.93809304786713</c:v>
                </c:pt>
                <c:pt idx="3">
                  <c:v>118.74079699667453</c:v>
                </c:pt>
                <c:pt idx="4">
                  <c:v>118.43360107940988</c:v>
                </c:pt>
                <c:pt idx="5">
                  <c:v>116.91806840973351</c:v>
                </c:pt>
                <c:pt idx="6">
                  <c:v>109.62723798830294</c:v>
                </c:pt>
                <c:pt idx="7">
                  <c:v>108.92393280376783</c:v>
                </c:pt>
                <c:pt idx="8">
                  <c:v>108.01785584204484</c:v>
                </c:pt>
                <c:pt idx="9">
                  <c:v>105.70827611377007</c:v>
                </c:pt>
                <c:pt idx="10">
                  <c:v>105.5146437137123</c:v>
                </c:pt>
                <c:pt idx="11">
                  <c:v>98.535596156927113</c:v>
                </c:pt>
                <c:pt idx="12">
                  <c:v>91.427428161340544</c:v>
                </c:pt>
                <c:pt idx="13">
                  <c:v>64.819120883302034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7-46BE-87C4-B6B098DB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20"/>
        <c:axId val="280527320"/>
        <c:axId val="280527648"/>
      </c:barChart>
      <c:catAx>
        <c:axId val="280527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527648"/>
        <c:crosses val="autoZero"/>
        <c:auto val="1"/>
        <c:lblAlgn val="ctr"/>
        <c:lblOffset val="100"/>
        <c:noMultiLvlLbl val="0"/>
      </c:catAx>
      <c:valAx>
        <c:axId val="28052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52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15240</xdr:colOff>
      <xdr:row>0</xdr:row>
      <xdr:rowOff>0</xdr:rowOff>
    </xdr:from>
    <xdr:to>
      <xdr:col>56</xdr:col>
      <xdr:colOff>15240</xdr:colOff>
      <xdr:row>27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4BA20-A422-4569-B031-6BCC12834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45ABCC-404D-4A58-A25B-4FF2410A2913}" name="Table1" displayName="Table1" ref="AI1:AJ15" totalsRowShown="0" headerRowDxfId="3" dataDxfId="2">
  <autoFilter ref="AI1:AJ15" xr:uid="{49F879F7-78EC-408F-853A-178223838CF1}"/>
  <sortState ref="AI2:AJ15">
    <sortCondition descending="1" ref="AJ1:AJ15"/>
  </sortState>
  <tableColumns count="2">
    <tableColumn id="1" xr3:uid="{5671CE9E-42CD-4FD1-A91F-90B75921B56E}" name="TEAM" dataDxfId="1"/>
    <tableColumn id="2" xr3:uid="{EBC2290E-F428-4612-BA97-3FDB609938CD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B46-D0B4-4085-BD9F-A0FA636FB550}">
  <sheetPr codeName="Sheet1"/>
  <dimension ref="A1:F29"/>
  <sheetViews>
    <sheetView workbookViewId="0">
      <selection activeCell="F11" sqref="F11"/>
    </sheetView>
  </sheetViews>
  <sheetFormatPr defaultRowHeight="14.4" x14ac:dyDescent="0.3"/>
  <cols>
    <col min="1" max="1" width="16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37</v>
      </c>
    </row>
    <row r="2" spans="1:6" x14ac:dyDescent="0.3">
      <c r="A2" t="s">
        <v>5</v>
      </c>
      <c r="B2" t="s">
        <v>6</v>
      </c>
      <c r="C2">
        <v>52.9</v>
      </c>
      <c r="D2">
        <v>56.8</v>
      </c>
      <c r="E2">
        <v>1</v>
      </c>
      <c r="F2">
        <v>2017</v>
      </c>
    </row>
    <row r="3" spans="1:6" x14ac:dyDescent="0.3">
      <c r="A3" t="s">
        <v>7</v>
      </c>
      <c r="B3" t="s">
        <v>8</v>
      </c>
      <c r="C3">
        <v>93.8</v>
      </c>
      <c r="D3">
        <v>149.19999999999999</v>
      </c>
      <c r="E3">
        <v>1</v>
      </c>
      <c r="F3">
        <v>2017</v>
      </c>
    </row>
    <row r="4" spans="1:6" x14ac:dyDescent="0.3">
      <c r="A4" t="s">
        <v>9</v>
      </c>
      <c r="B4" t="s">
        <v>10</v>
      </c>
      <c r="C4">
        <v>71.599999999999994</v>
      </c>
      <c r="D4">
        <v>73.900000000000006</v>
      </c>
      <c r="E4">
        <v>1</v>
      </c>
      <c r="F4">
        <v>2017</v>
      </c>
    </row>
    <row r="5" spans="1:6" x14ac:dyDescent="0.3">
      <c r="A5" t="s">
        <v>11</v>
      </c>
      <c r="B5" t="s">
        <v>12</v>
      </c>
      <c r="C5">
        <v>78</v>
      </c>
      <c r="D5">
        <v>78.3</v>
      </c>
      <c r="E5">
        <v>1</v>
      </c>
      <c r="F5">
        <v>2017</v>
      </c>
    </row>
    <row r="6" spans="1:6" x14ac:dyDescent="0.3">
      <c r="A6" t="s">
        <v>13</v>
      </c>
      <c r="B6" t="s">
        <v>14</v>
      </c>
      <c r="C6">
        <v>65.400000000000006</v>
      </c>
      <c r="D6">
        <v>55.9</v>
      </c>
      <c r="E6">
        <v>1</v>
      </c>
      <c r="F6">
        <v>2017</v>
      </c>
    </row>
    <row r="7" spans="1:6" x14ac:dyDescent="0.3">
      <c r="A7" t="s">
        <v>15</v>
      </c>
      <c r="B7" t="s">
        <v>16</v>
      </c>
      <c r="C7">
        <v>72.5</v>
      </c>
      <c r="D7">
        <v>99.9</v>
      </c>
      <c r="E7">
        <v>1</v>
      </c>
      <c r="F7">
        <v>2017</v>
      </c>
    </row>
    <row r="8" spans="1:6" x14ac:dyDescent="0.3">
      <c r="A8" t="s">
        <v>17</v>
      </c>
      <c r="B8" t="s">
        <v>18</v>
      </c>
      <c r="C8">
        <v>107</v>
      </c>
      <c r="D8">
        <v>75.599999999999994</v>
      </c>
      <c r="E8">
        <v>1</v>
      </c>
      <c r="F8">
        <v>2017</v>
      </c>
    </row>
    <row r="9" spans="1:6" x14ac:dyDescent="0.3">
      <c r="A9" t="s">
        <v>7</v>
      </c>
      <c r="B9" t="s">
        <v>5</v>
      </c>
      <c r="C9">
        <v>70.599999999999994</v>
      </c>
      <c r="D9">
        <v>133</v>
      </c>
      <c r="E9">
        <v>2</v>
      </c>
      <c r="F9">
        <v>2017</v>
      </c>
    </row>
    <row r="10" spans="1:6" x14ac:dyDescent="0.3">
      <c r="A10" t="s">
        <v>6</v>
      </c>
      <c r="B10" t="s">
        <v>9</v>
      </c>
      <c r="C10">
        <v>126.3</v>
      </c>
      <c r="D10">
        <v>116.6</v>
      </c>
      <c r="E10">
        <v>2</v>
      </c>
      <c r="F10">
        <v>2017</v>
      </c>
    </row>
    <row r="11" spans="1:6" x14ac:dyDescent="0.3">
      <c r="A11" t="s">
        <v>8</v>
      </c>
      <c r="B11" t="s">
        <v>11</v>
      </c>
      <c r="C11">
        <v>83.9</v>
      </c>
      <c r="D11">
        <v>101.6</v>
      </c>
      <c r="E11">
        <v>2</v>
      </c>
      <c r="F11">
        <v>2017</v>
      </c>
    </row>
    <row r="12" spans="1:6" x14ac:dyDescent="0.3">
      <c r="A12" t="s">
        <v>10</v>
      </c>
      <c r="B12" t="s">
        <v>13</v>
      </c>
      <c r="C12">
        <v>80.8</v>
      </c>
      <c r="D12">
        <v>77.7</v>
      </c>
      <c r="E12">
        <v>2</v>
      </c>
      <c r="F12">
        <v>2017</v>
      </c>
    </row>
    <row r="13" spans="1:6" x14ac:dyDescent="0.3">
      <c r="A13" t="s">
        <v>12</v>
      </c>
      <c r="B13" t="s">
        <v>15</v>
      </c>
      <c r="C13">
        <v>89</v>
      </c>
      <c r="D13">
        <v>69.2</v>
      </c>
      <c r="E13">
        <v>2</v>
      </c>
      <c r="F13">
        <v>2017</v>
      </c>
    </row>
    <row r="14" spans="1:6" x14ac:dyDescent="0.3">
      <c r="A14" t="s">
        <v>14</v>
      </c>
      <c r="B14" t="s">
        <v>17</v>
      </c>
      <c r="C14">
        <v>69.3</v>
      </c>
      <c r="D14">
        <v>71.2</v>
      </c>
      <c r="E14">
        <v>2</v>
      </c>
      <c r="F14">
        <v>2017</v>
      </c>
    </row>
    <row r="15" spans="1:6" x14ac:dyDescent="0.3">
      <c r="A15" t="s">
        <v>16</v>
      </c>
      <c r="B15" t="s">
        <v>18</v>
      </c>
      <c r="C15">
        <v>66.7</v>
      </c>
      <c r="D15">
        <v>46.5</v>
      </c>
      <c r="E15">
        <v>2</v>
      </c>
      <c r="F15">
        <v>2017</v>
      </c>
    </row>
    <row r="16" spans="1:6" x14ac:dyDescent="0.3">
      <c r="A16" t="s">
        <v>5</v>
      </c>
      <c r="B16" t="s">
        <v>9</v>
      </c>
      <c r="C16">
        <v>96.5</v>
      </c>
      <c r="D16">
        <v>75</v>
      </c>
      <c r="E16">
        <v>3</v>
      </c>
      <c r="F16">
        <v>2017</v>
      </c>
    </row>
    <row r="17" spans="1:6" x14ac:dyDescent="0.3">
      <c r="A17" t="s">
        <v>11</v>
      </c>
      <c r="B17" t="s">
        <v>7</v>
      </c>
      <c r="C17">
        <v>110.4</v>
      </c>
      <c r="D17">
        <v>84.8</v>
      </c>
      <c r="E17">
        <v>3</v>
      </c>
      <c r="F17">
        <v>2017</v>
      </c>
    </row>
    <row r="18" spans="1:6" x14ac:dyDescent="0.3">
      <c r="A18" t="s">
        <v>13</v>
      </c>
      <c r="B18" t="s">
        <v>6</v>
      </c>
      <c r="C18">
        <v>94.7</v>
      </c>
      <c r="D18">
        <v>67.599999999999994</v>
      </c>
      <c r="E18">
        <v>3</v>
      </c>
      <c r="F18">
        <v>2017</v>
      </c>
    </row>
    <row r="19" spans="1:6" x14ac:dyDescent="0.3">
      <c r="A19" t="s">
        <v>15</v>
      </c>
      <c r="B19" t="s">
        <v>8</v>
      </c>
      <c r="C19">
        <v>115.6</v>
      </c>
      <c r="D19">
        <v>94.2</v>
      </c>
      <c r="E19">
        <v>3</v>
      </c>
      <c r="F19">
        <v>2017</v>
      </c>
    </row>
    <row r="20" spans="1:6" x14ac:dyDescent="0.3">
      <c r="A20" t="s">
        <v>17</v>
      </c>
      <c r="B20" t="s">
        <v>10</v>
      </c>
      <c r="C20">
        <v>100.4</v>
      </c>
      <c r="D20">
        <v>93.7</v>
      </c>
      <c r="E20">
        <v>3</v>
      </c>
      <c r="F20">
        <v>2017</v>
      </c>
    </row>
    <row r="21" spans="1:6" x14ac:dyDescent="0.3">
      <c r="A21" t="s">
        <v>18</v>
      </c>
      <c r="B21" t="s">
        <v>12</v>
      </c>
      <c r="C21">
        <v>52</v>
      </c>
      <c r="D21">
        <v>81.5</v>
      </c>
      <c r="E21">
        <v>3</v>
      </c>
      <c r="F21">
        <v>2017</v>
      </c>
    </row>
    <row r="22" spans="1:6" x14ac:dyDescent="0.3">
      <c r="A22" t="s">
        <v>16</v>
      </c>
      <c r="B22" t="s">
        <v>14</v>
      </c>
      <c r="C22">
        <v>90.7</v>
      </c>
      <c r="D22">
        <v>81.099999999999994</v>
      </c>
      <c r="E22">
        <v>3</v>
      </c>
      <c r="F22">
        <v>2017</v>
      </c>
    </row>
    <row r="23" spans="1:6" x14ac:dyDescent="0.3">
      <c r="A23" t="s">
        <v>11</v>
      </c>
      <c r="B23" t="s">
        <v>5</v>
      </c>
      <c r="C23">
        <v>115.3</v>
      </c>
      <c r="D23">
        <v>90.2</v>
      </c>
      <c r="E23">
        <v>4</v>
      </c>
      <c r="F23">
        <v>2017</v>
      </c>
    </row>
    <row r="24" spans="1:6" x14ac:dyDescent="0.3">
      <c r="A24" t="s">
        <v>9</v>
      </c>
      <c r="B24" t="s">
        <v>13</v>
      </c>
      <c r="C24">
        <v>83.1</v>
      </c>
      <c r="D24">
        <v>82.5</v>
      </c>
      <c r="E24">
        <v>4</v>
      </c>
      <c r="F24">
        <v>2017</v>
      </c>
    </row>
    <row r="25" spans="1:6" x14ac:dyDescent="0.3">
      <c r="A25" t="s">
        <v>7</v>
      </c>
      <c r="B25" t="s">
        <v>15</v>
      </c>
      <c r="C25">
        <v>58.8</v>
      </c>
      <c r="D25">
        <v>95.8</v>
      </c>
      <c r="E25">
        <v>4</v>
      </c>
      <c r="F25">
        <v>2017</v>
      </c>
    </row>
    <row r="26" spans="1:6" x14ac:dyDescent="0.3">
      <c r="A26" t="s">
        <v>6</v>
      </c>
      <c r="B26" t="s">
        <v>17</v>
      </c>
      <c r="C26">
        <v>93.1</v>
      </c>
      <c r="D26">
        <v>99.2</v>
      </c>
      <c r="E26">
        <v>4</v>
      </c>
      <c r="F26">
        <v>2017</v>
      </c>
    </row>
    <row r="27" spans="1:6" x14ac:dyDescent="0.3">
      <c r="A27" t="s">
        <v>8</v>
      </c>
      <c r="B27" t="s">
        <v>18</v>
      </c>
      <c r="C27">
        <v>96.9</v>
      </c>
      <c r="D27">
        <v>56.1</v>
      </c>
      <c r="E27">
        <v>4</v>
      </c>
      <c r="F27">
        <v>2017</v>
      </c>
    </row>
    <row r="28" spans="1:6" x14ac:dyDescent="0.3">
      <c r="A28" t="s">
        <v>10</v>
      </c>
      <c r="B28" t="s">
        <v>16</v>
      </c>
      <c r="C28">
        <v>79.7</v>
      </c>
      <c r="D28">
        <v>99.7</v>
      </c>
      <c r="E28">
        <v>4</v>
      </c>
      <c r="F28">
        <v>2017</v>
      </c>
    </row>
    <row r="29" spans="1:6" x14ac:dyDescent="0.3">
      <c r="A29" t="s">
        <v>12</v>
      </c>
      <c r="B29" t="s">
        <v>14</v>
      </c>
      <c r="C29">
        <v>85.3</v>
      </c>
      <c r="D29">
        <v>68.599999999999994</v>
      </c>
      <c r="E29">
        <v>4</v>
      </c>
      <c r="F29">
        <v>2017</v>
      </c>
    </row>
  </sheetData>
  <dataConsolidate/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B3A35-9C45-4428-8699-FC1319FCFFF4}">
  <sheetPr codeName="Sheet3"/>
  <dimension ref="A1:T57"/>
  <sheetViews>
    <sheetView topLeftCell="A19" workbookViewId="0">
      <selection activeCell="T9" sqref="T9"/>
    </sheetView>
  </sheetViews>
  <sheetFormatPr defaultRowHeight="14.4" x14ac:dyDescent="0.3"/>
  <cols>
    <col min="3" max="3" width="28.109375" customWidth="1"/>
  </cols>
  <sheetData>
    <row r="1" spans="1:20" x14ac:dyDescent="0.3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</row>
    <row r="2" spans="1:20" x14ac:dyDescent="0.3">
      <c r="A2">
        <v>2017</v>
      </c>
      <c r="B2">
        <v>1</v>
      </c>
      <c r="C2" t="s">
        <v>13</v>
      </c>
      <c r="D2" t="s">
        <v>58</v>
      </c>
      <c r="E2">
        <v>-3</v>
      </c>
      <c r="F2" t="s">
        <v>59</v>
      </c>
      <c r="G2">
        <v>18.399999999999999</v>
      </c>
      <c r="H2" t="s">
        <v>60</v>
      </c>
      <c r="I2">
        <v>17.3</v>
      </c>
      <c r="J2" t="s">
        <v>61</v>
      </c>
      <c r="K2">
        <v>12</v>
      </c>
      <c r="L2" t="s">
        <v>62</v>
      </c>
      <c r="M2">
        <v>8.5</v>
      </c>
      <c r="N2" t="s">
        <v>63</v>
      </c>
      <c r="O2">
        <v>8.1</v>
      </c>
      <c r="P2" t="s">
        <v>64</v>
      </c>
      <c r="Q2">
        <v>1.1000000000000001</v>
      </c>
      <c r="R2" t="s">
        <v>221</v>
      </c>
      <c r="S2" t="s">
        <v>76</v>
      </c>
      <c r="T2">
        <v>3</v>
      </c>
    </row>
    <row r="3" spans="1:20" x14ac:dyDescent="0.3">
      <c r="A3">
        <v>2017</v>
      </c>
      <c r="B3">
        <v>2</v>
      </c>
      <c r="C3" t="s">
        <v>13</v>
      </c>
      <c r="D3" t="s">
        <v>65</v>
      </c>
      <c r="E3">
        <v>12.5</v>
      </c>
      <c r="F3" t="s">
        <v>59</v>
      </c>
      <c r="G3">
        <v>7.3</v>
      </c>
      <c r="H3" t="s">
        <v>60</v>
      </c>
      <c r="I3">
        <v>26</v>
      </c>
      <c r="J3" t="s">
        <v>61</v>
      </c>
      <c r="K3">
        <v>14.5</v>
      </c>
      <c r="L3" t="s">
        <v>62</v>
      </c>
      <c r="M3">
        <v>4</v>
      </c>
      <c r="N3" t="s">
        <v>63</v>
      </c>
      <c r="O3">
        <v>4.5</v>
      </c>
      <c r="P3" t="s">
        <v>64</v>
      </c>
      <c r="Q3">
        <v>1.1000000000000001</v>
      </c>
      <c r="R3" t="s">
        <v>221</v>
      </c>
      <c r="S3" t="s">
        <v>76</v>
      </c>
      <c r="T3">
        <v>7.8</v>
      </c>
    </row>
    <row r="4" spans="1:20" x14ac:dyDescent="0.3">
      <c r="A4">
        <v>2017</v>
      </c>
      <c r="B4">
        <v>3</v>
      </c>
      <c r="C4" t="s">
        <v>13</v>
      </c>
      <c r="D4" t="s">
        <v>65</v>
      </c>
      <c r="E4">
        <v>15.5</v>
      </c>
      <c r="F4" t="s">
        <v>59</v>
      </c>
      <c r="G4">
        <v>10.4</v>
      </c>
      <c r="H4" t="s">
        <v>60</v>
      </c>
      <c r="I4">
        <v>9</v>
      </c>
      <c r="J4" t="s">
        <v>61</v>
      </c>
      <c r="K4">
        <v>8.6</v>
      </c>
      <c r="L4" t="s">
        <v>62</v>
      </c>
      <c r="M4">
        <v>22.8</v>
      </c>
      <c r="N4" t="s">
        <v>63</v>
      </c>
      <c r="O4">
        <v>12.3</v>
      </c>
      <c r="P4" t="s">
        <v>64</v>
      </c>
      <c r="Q4">
        <v>8.4</v>
      </c>
      <c r="R4" t="s">
        <v>66</v>
      </c>
      <c r="S4" t="s">
        <v>67</v>
      </c>
      <c r="T4">
        <v>7.6</v>
      </c>
    </row>
    <row r="5" spans="1:20" x14ac:dyDescent="0.3">
      <c r="A5">
        <v>2017</v>
      </c>
      <c r="B5">
        <v>4</v>
      </c>
      <c r="C5" t="s">
        <v>13</v>
      </c>
      <c r="D5" t="s">
        <v>58</v>
      </c>
      <c r="E5">
        <v>28.3</v>
      </c>
      <c r="F5" t="s">
        <v>59</v>
      </c>
      <c r="G5">
        <v>12.3</v>
      </c>
      <c r="H5" t="s">
        <v>60</v>
      </c>
      <c r="I5">
        <v>2.8</v>
      </c>
      <c r="J5" t="s">
        <v>61</v>
      </c>
      <c r="K5">
        <v>16.3</v>
      </c>
      <c r="L5" t="s">
        <v>62</v>
      </c>
      <c r="M5">
        <v>7.9</v>
      </c>
      <c r="N5" t="s">
        <v>63</v>
      </c>
      <c r="O5">
        <v>6.1</v>
      </c>
      <c r="P5" t="s">
        <v>64</v>
      </c>
      <c r="Q5">
        <v>8.6999999999999993</v>
      </c>
      <c r="R5" t="s">
        <v>222</v>
      </c>
      <c r="S5" t="s">
        <v>67</v>
      </c>
      <c r="T5">
        <v>0</v>
      </c>
    </row>
    <row r="6" spans="1:20" x14ac:dyDescent="0.3">
      <c r="A6">
        <v>2017</v>
      </c>
      <c r="B6">
        <v>1</v>
      </c>
      <c r="C6" t="s">
        <v>11</v>
      </c>
      <c r="D6" t="s">
        <v>68</v>
      </c>
      <c r="E6">
        <v>8.3000000000000007</v>
      </c>
      <c r="F6" t="s">
        <v>69</v>
      </c>
      <c r="G6">
        <v>18.100000000000001</v>
      </c>
      <c r="H6" t="s">
        <v>70</v>
      </c>
      <c r="I6">
        <v>10</v>
      </c>
      <c r="J6" t="s">
        <v>71</v>
      </c>
      <c r="K6">
        <v>5.3</v>
      </c>
      <c r="L6" t="s">
        <v>72</v>
      </c>
      <c r="M6">
        <v>2.2000000000000002</v>
      </c>
      <c r="N6" t="s">
        <v>73</v>
      </c>
      <c r="O6">
        <v>6.9</v>
      </c>
      <c r="P6" t="s">
        <v>74</v>
      </c>
      <c r="Q6">
        <v>13.2</v>
      </c>
      <c r="R6" t="s">
        <v>75</v>
      </c>
      <c r="S6" t="s">
        <v>76</v>
      </c>
      <c r="T6">
        <v>14</v>
      </c>
    </row>
    <row r="7" spans="1:20" x14ac:dyDescent="0.3">
      <c r="A7">
        <v>2017</v>
      </c>
      <c r="B7">
        <v>2</v>
      </c>
      <c r="C7" t="s">
        <v>11</v>
      </c>
      <c r="D7" t="s">
        <v>68</v>
      </c>
      <c r="E7">
        <v>15.3</v>
      </c>
      <c r="F7" t="s">
        <v>69</v>
      </c>
      <c r="G7">
        <v>25.1</v>
      </c>
      <c r="H7" t="s">
        <v>75</v>
      </c>
      <c r="I7">
        <v>11.5</v>
      </c>
      <c r="J7" t="s">
        <v>71</v>
      </c>
      <c r="K7">
        <v>15.4</v>
      </c>
      <c r="L7" t="s">
        <v>77</v>
      </c>
      <c r="M7">
        <v>4.0999999999999996</v>
      </c>
      <c r="N7" t="s">
        <v>73</v>
      </c>
      <c r="O7">
        <v>20.3</v>
      </c>
      <c r="P7" t="s">
        <v>74</v>
      </c>
      <c r="Q7">
        <v>9</v>
      </c>
      <c r="R7" t="s">
        <v>223</v>
      </c>
      <c r="S7" t="s">
        <v>67</v>
      </c>
      <c r="T7">
        <v>0.9</v>
      </c>
    </row>
    <row r="8" spans="1:20" x14ac:dyDescent="0.3">
      <c r="A8">
        <v>2017</v>
      </c>
      <c r="B8">
        <v>3</v>
      </c>
      <c r="C8" t="s">
        <v>11</v>
      </c>
      <c r="D8" t="s">
        <v>68</v>
      </c>
      <c r="E8">
        <v>33.5</v>
      </c>
      <c r="F8" t="s">
        <v>69</v>
      </c>
      <c r="G8">
        <v>35.4</v>
      </c>
      <c r="H8" t="s">
        <v>78</v>
      </c>
      <c r="I8">
        <v>1.3</v>
      </c>
      <c r="J8" t="s">
        <v>71</v>
      </c>
      <c r="K8">
        <v>8.1999999999999993</v>
      </c>
      <c r="L8" t="s">
        <v>77</v>
      </c>
      <c r="M8">
        <v>17.7</v>
      </c>
      <c r="N8" t="s">
        <v>73</v>
      </c>
      <c r="O8">
        <v>0.6</v>
      </c>
      <c r="P8" t="s">
        <v>79</v>
      </c>
      <c r="Q8">
        <v>6.1</v>
      </c>
      <c r="R8" t="s">
        <v>224</v>
      </c>
      <c r="S8" t="s">
        <v>67</v>
      </c>
      <c r="T8">
        <v>7.6</v>
      </c>
    </row>
    <row r="9" spans="1:20" x14ac:dyDescent="0.3">
      <c r="A9">
        <v>2017</v>
      </c>
      <c r="B9">
        <v>4</v>
      </c>
      <c r="C9" t="s">
        <v>11</v>
      </c>
      <c r="D9" t="s">
        <v>68</v>
      </c>
      <c r="E9">
        <v>27.6</v>
      </c>
      <c r="F9" t="s">
        <v>69</v>
      </c>
      <c r="G9">
        <v>31</v>
      </c>
      <c r="H9" t="s">
        <v>75</v>
      </c>
      <c r="I9">
        <v>-0.7</v>
      </c>
      <c r="J9" t="s">
        <v>71</v>
      </c>
      <c r="K9">
        <v>12.3</v>
      </c>
      <c r="L9" t="s">
        <v>77</v>
      </c>
      <c r="M9">
        <v>5.6</v>
      </c>
      <c r="N9" t="s">
        <v>73</v>
      </c>
      <c r="O9">
        <v>20.9</v>
      </c>
      <c r="P9" t="s">
        <v>79</v>
      </c>
      <c r="Q9">
        <v>10.6</v>
      </c>
      <c r="R9" t="s">
        <v>224</v>
      </c>
      <c r="S9" t="s">
        <v>67</v>
      </c>
      <c r="T9">
        <v>8</v>
      </c>
    </row>
    <row r="10" spans="1:20" x14ac:dyDescent="0.3">
      <c r="A10">
        <v>2017</v>
      </c>
      <c r="B10">
        <v>1</v>
      </c>
      <c r="C10" t="s">
        <v>8</v>
      </c>
      <c r="D10" t="s">
        <v>80</v>
      </c>
      <c r="E10">
        <v>13.1</v>
      </c>
      <c r="F10" t="s">
        <v>81</v>
      </c>
      <c r="G10">
        <v>7</v>
      </c>
      <c r="H10" t="s">
        <v>82</v>
      </c>
      <c r="I10">
        <v>43.1</v>
      </c>
      <c r="J10" t="s">
        <v>83</v>
      </c>
      <c r="K10">
        <v>9.1999999999999993</v>
      </c>
      <c r="L10" t="s">
        <v>84</v>
      </c>
      <c r="M10">
        <v>12.6</v>
      </c>
      <c r="N10" t="s">
        <v>85</v>
      </c>
      <c r="O10">
        <v>15.4</v>
      </c>
      <c r="P10" t="s">
        <v>86</v>
      </c>
      <c r="Q10">
        <v>28.8</v>
      </c>
      <c r="R10" t="s">
        <v>87</v>
      </c>
      <c r="S10" t="s">
        <v>76</v>
      </c>
      <c r="T10">
        <v>19.899999999999999</v>
      </c>
    </row>
    <row r="11" spans="1:20" x14ac:dyDescent="0.3">
      <c r="A11">
        <v>2017</v>
      </c>
      <c r="B11">
        <v>2</v>
      </c>
      <c r="C11" t="s">
        <v>8</v>
      </c>
      <c r="D11" t="s">
        <v>80</v>
      </c>
      <c r="E11">
        <v>11.8</v>
      </c>
      <c r="F11" t="s">
        <v>87</v>
      </c>
      <c r="G11">
        <v>13.1</v>
      </c>
      <c r="H11" t="s">
        <v>82</v>
      </c>
      <c r="I11">
        <v>24.4</v>
      </c>
      <c r="J11" t="s">
        <v>83</v>
      </c>
      <c r="K11">
        <v>10.1</v>
      </c>
      <c r="L11" t="s">
        <v>84</v>
      </c>
      <c r="M11">
        <v>11.1</v>
      </c>
      <c r="N11" t="s">
        <v>88</v>
      </c>
      <c r="O11">
        <v>10.8</v>
      </c>
      <c r="P11" t="s">
        <v>86</v>
      </c>
      <c r="Q11">
        <v>-0.7</v>
      </c>
      <c r="R11" t="s">
        <v>81</v>
      </c>
      <c r="S11" t="s">
        <v>76</v>
      </c>
      <c r="T11">
        <v>3.3</v>
      </c>
    </row>
    <row r="12" spans="1:20" x14ac:dyDescent="0.3">
      <c r="A12">
        <v>2017</v>
      </c>
      <c r="B12">
        <v>3</v>
      </c>
      <c r="C12" t="s">
        <v>8</v>
      </c>
      <c r="D12" t="s">
        <v>80</v>
      </c>
      <c r="E12">
        <v>8.3000000000000007</v>
      </c>
      <c r="F12" t="s">
        <v>87</v>
      </c>
      <c r="G12">
        <v>15.5</v>
      </c>
      <c r="H12" t="s">
        <v>82</v>
      </c>
      <c r="I12">
        <v>24.8</v>
      </c>
      <c r="J12" t="s">
        <v>83</v>
      </c>
      <c r="K12">
        <v>12.8</v>
      </c>
      <c r="L12" t="s">
        <v>84</v>
      </c>
      <c r="M12">
        <v>1.3</v>
      </c>
      <c r="N12" t="s">
        <v>85</v>
      </c>
      <c r="O12">
        <v>0.8</v>
      </c>
      <c r="P12" t="s">
        <v>86</v>
      </c>
      <c r="Q12">
        <v>13.2</v>
      </c>
      <c r="R12" t="s">
        <v>89</v>
      </c>
      <c r="S12" t="s">
        <v>67</v>
      </c>
      <c r="T12">
        <v>17.600000000000001</v>
      </c>
    </row>
    <row r="13" spans="1:20" x14ac:dyDescent="0.3">
      <c r="A13">
        <v>2017</v>
      </c>
      <c r="B13">
        <v>4</v>
      </c>
      <c r="C13" t="s">
        <v>8</v>
      </c>
      <c r="D13" t="s">
        <v>90</v>
      </c>
      <c r="E13">
        <v>27.3</v>
      </c>
      <c r="F13" t="s">
        <v>87</v>
      </c>
      <c r="G13">
        <v>22.5</v>
      </c>
      <c r="H13" t="s">
        <v>82</v>
      </c>
      <c r="I13">
        <v>14.1</v>
      </c>
      <c r="J13" t="s">
        <v>83</v>
      </c>
      <c r="K13">
        <v>1.6</v>
      </c>
      <c r="L13" t="s">
        <v>89</v>
      </c>
      <c r="M13">
        <v>9.9</v>
      </c>
      <c r="N13" t="s">
        <v>85</v>
      </c>
      <c r="O13">
        <v>1.4</v>
      </c>
      <c r="P13" t="s">
        <v>86</v>
      </c>
      <c r="Q13">
        <v>11.9</v>
      </c>
      <c r="R13" t="s">
        <v>91</v>
      </c>
      <c r="S13" t="s">
        <v>76</v>
      </c>
      <c r="T13">
        <v>8.1999999999999993</v>
      </c>
    </row>
    <row r="14" spans="1:20" x14ac:dyDescent="0.3">
      <c r="A14">
        <v>2017</v>
      </c>
      <c r="B14">
        <v>1</v>
      </c>
      <c r="C14" t="s">
        <v>18</v>
      </c>
      <c r="D14" t="s">
        <v>92</v>
      </c>
      <c r="E14">
        <v>18.7</v>
      </c>
      <c r="F14" t="s">
        <v>93</v>
      </c>
      <c r="G14">
        <v>9.6</v>
      </c>
      <c r="H14" t="s">
        <v>94</v>
      </c>
      <c r="I14">
        <v>6.4</v>
      </c>
      <c r="J14" t="s">
        <v>95</v>
      </c>
      <c r="K14">
        <v>8</v>
      </c>
      <c r="L14" t="s">
        <v>96</v>
      </c>
      <c r="M14">
        <v>1.3</v>
      </c>
      <c r="N14" t="s">
        <v>97</v>
      </c>
      <c r="O14">
        <v>2.8</v>
      </c>
      <c r="P14" t="s">
        <v>98</v>
      </c>
      <c r="Q14">
        <v>21</v>
      </c>
      <c r="R14" t="s">
        <v>99</v>
      </c>
      <c r="S14" t="s">
        <v>67</v>
      </c>
      <c r="T14">
        <v>7.9</v>
      </c>
    </row>
    <row r="15" spans="1:20" x14ac:dyDescent="0.3">
      <c r="A15">
        <v>2017</v>
      </c>
      <c r="B15">
        <v>2</v>
      </c>
      <c r="C15" t="s">
        <v>18</v>
      </c>
      <c r="D15" t="s">
        <v>92</v>
      </c>
      <c r="E15">
        <v>21.2</v>
      </c>
      <c r="F15" t="s">
        <v>93</v>
      </c>
      <c r="G15">
        <v>3.7</v>
      </c>
      <c r="H15" t="s">
        <v>94</v>
      </c>
      <c r="I15">
        <v>1.3</v>
      </c>
      <c r="J15" t="s">
        <v>95</v>
      </c>
      <c r="K15">
        <v>7.4</v>
      </c>
      <c r="L15" t="s">
        <v>96</v>
      </c>
      <c r="M15">
        <v>1.2</v>
      </c>
      <c r="N15" t="s">
        <v>97</v>
      </c>
      <c r="O15">
        <v>1.5</v>
      </c>
      <c r="P15" t="s">
        <v>98</v>
      </c>
      <c r="Q15">
        <v>2.8</v>
      </c>
      <c r="R15" t="s">
        <v>99</v>
      </c>
      <c r="S15" t="s">
        <v>67</v>
      </c>
      <c r="T15">
        <v>7.4</v>
      </c>
    </row>
    <row r="16" spans="1:20" x14ac:dyDescent="0.3">
      <c r="A16">
        <v>2017</v>
      </c>
      <c r="B16">
        <v>3</v>
      </c>
      <c r="C16" t="s">
        <v>18</v>
      </c>
      <c r="D16" t="s">
        <v>92</v>
      </c>
      <c r="E16">
        <v>5.2</v>
      </c>
      <c r="F16" t="s">
        <v>93</v>
      </c>
      <c r="G16">
        <v>6.4</v>
      </c>
      <c r="H16" t="s">
        <v>100</v>
      </c>
      <c r="I16">
        <v>6.6</v>
      </c>
      <c r="J16" t="s">
        <v>95</v>
      </c>
      <c r="K16">
        <v>21.5</v>
      </c>
      <c r="L16" t="s">
        <v>101</v>
      </c>
      <c r="M16">
        <v>5.7</v>
      </c>
      <c r="N16" t="s">
        <v>102</v>
      </c>
      <c r="O16">
        <v>2.2000000000000002</v>
      </c>
      <c r="P16" t="s">
        <v>98</v>
      </c>
      <c r="Q16">
        <v>1.9</v>
      </c>
      <c r="R16" t="s">
        <v>99</v>
      </c>
      <c r="S16" t="s">
        <v>67</v>
      </c>
      <c r="T16">
        <v>2.5</v>
      </c>
    </row>
    <row r="17" spans="1:20" x14ac:dyDescent="0.3">
      <c r="A17">
        <v>2017</v>
      </c>
      <c r="B17">
        <v>4</v>
      </c>
      <c r="C17" t="s">
        <v>18</v>
      </c>
      <c r="D17" t="s">
        <v>92</v>
      </c>
      <c r="E17">
        <v>9.6999999999999993</v>
      </c>
      <c r="F17" t="s">
        <v>93</v>
      </c>
      <c r="G17">
        <v>3.2</v>
      </c>
      <c r="H17" t="s">
        <v>100</v>
      </c>
      <c r="I17">
        <v>4.8</v>
      </c>
      <c r="J17" t="s">
        <v>95</v>
      </c>
      <c r="K17">
        <v>7</v>
      </c>
      <c r="L17" t="s">
        <v>101</v>
      </c>
      <c r="M17">
        <v>3.7</v>
      </c>
      <c r="N17" t="s">
        <v>102</v>
      </c>
      <c r="O17">
        <v>5.5</v>
      </c>
      <c r="P17" t="s">
        <v>98</v>
      </c>
      <c r="Q17">
        <v>2.2000000000000002</v>
      </c>
      <c r="R17" t="s">
        <v>99</v>
      </c>
      <c r="S17" t="s">
        <v>67</v>
      </c>
      <c r="T17">
        <v>20</v>
      </c>
    </row>
    <row r="18" spans="1:20" x14ac:dyDescent="0.3">
      <c r="A18">
        <v>2017</v>
      </c>
      <c r="B18">
        <v>1</v>
      </c>
      <c r="C18" t="s">
        <v>17</v>
      </c>
      <c r="D18" t="s">
        <v>103</v>
      </c>
      <c r="E18">
        <v>18.8</v>
      </c>
      <c r="F18" t="s">
        <v>104</v>
      </c>
      <c r="G18">
        <v>9</v>
      </c>
      <c r="H18" t="s">
        <v>105</v>
      </c>
      <c r="I18">
        <v>22.5</v>
      </c>
      <c r="J18" t="s">
        <v>106</v>
      </c>
      <c r="K18">
        <v>24.2</v>
      </c>
      <c r="L18" t="s">
        <v>107</v>
      </c>
      <c r="M18">
        <v>4.9000000000000004</v>
      </c>
      <c r="N18" t="s">
        <v>108</v>
      </c>
      <c r="O18">
        <v>2.2999999999999998</v>
      </c>
      <c r="P18" t="s">
        <v>109</v>
      </c>
      <c r="Q18">
        <v>8.8000000000000007</v>
      </c>
      <c r="R18" t="s">
        <v>110</v>
      </c>
      <c r="S18" t="s">
        <v>76</v>
      </c>
      <c r="T18">
        <v>16.5</v>
      </c>
    </row>
    <row r="19" spans="1:20" x14ac:dyDescent="0.3">
      <c r="A19">
        <v>2017</v>
      </c>
      <c r="B19">
        <v>2</v>
      </c>
      <c r="C19" t="s">
        <v>17</v>
      </c>
      <c r="D19" t="s">
        <v>103</v>
      </c>
      <c r="E19">
        <v>13</v>
      </c>
      <c r="F19" t="s">
        <v>104</v>
      </c>
      <c r="G19">
        <v>6.4</v>
      </c>
      <c r="H19" t="s">
        <v>105</v>
      </c>
      <c r="I19">
        <v>12.9</v>
      </c>
      <c r="J19" t="s">
        <v>106</v>
      </c>
      <c r="K19">
        <v>4.0999999999999996</v>
      </c>
      <c r="L19" t="s">
        <v>111</v>
      </c>
      <c r="M19">
        <v>16.3</v>
      </c>
      <c r="N19" t="s">
        <v>108</v>
      </c>
      <c r="O19">
        <v>0.6</v>
      </c>
      <c r="P19" t="s">
        <v>112</v>
      </c>
      <c r="Q19">
        <v>13.7</v>
      </c>
      <c r="R19" t="s">
        <v>110</v>
      </c>
      <c r="S19" t="s">
        <v>76</v>
      </c>
      <c r="T19">
        <v>4.2</v>
      </c>
    </row>
    <row r="20" spans="1:20" x14ac:dyDescent="0.3">
      <c r="A20">
        <v>2017</v>
      </c>
      <c r="B20">
        <v>3</v>
      </c>
      <c r="C20" t="s">
        <v>17</v>
      </c>
      <c r="D20" t="s">
        <v>113</v>
      </c>
      <c r="E20">
        <v>11.7</v>
      </c>
      <c r="F20" t="s">
        <v>104</v>
      </c>
      <c r="G20">
        <v>16.2</v>
      </c>
      <c r="H20" t="s">
        <v>105</v>
      </c>
      <c r="I20">
        <v>3.1</v>
      </c>
      <c r="J20" t="s">
        <v>114</v>
      </c>
      <c r="K20">
        <v>24.4</v>
      </c>
      <c r="L20" t="s">
        <v>106</v>
      </c>
      <c r="M20">
        <v>33.299999999999997</v>
      </c>
      <c r="N20" t="s">
        <v>115</v>
      </c>
      <c r="O20">
        <v>0</v>
      </c>
      <c r="P20" t="s">
        <v>112</v>
      </c>
      <c r="Q20">
        <v>-5.2</v>
      </c>
      <c r="R20" t="s">
        <v>110</v>
      </c>
      <c r="S20" t="s">
        <v>76</v>
      </c>
      <c r="T20">
        <v>16.899999999999999</v>
      </c>
    </row>
    <row r="21" spans="1:20" x14ac:dyDescent="0.3">
      <c r="A21">
        <v>2017</v>
      </c>
      <c r="B21">
        <v>4</v>
      </c>
      <c r="C21" t="s">
        <v>17</v>
      </c>
      <c r="D21" t="s">
        <v>103</v>
      </c>
      <c r="E21">
        <v>15.7</v>
      </c>
      <c r="F21" t="s">
        <v>104</v>
      </c>
      <c r="G21">
        <v>6.9</v>
      </c>
      <c r="H21" t="s">
        <v>110</v>
      </c>
      <c r="I21">
        <v>27.9</v>
      </c>
      <c r="J21" t="s">
        <v>106</v>
      </c>
      <c r="K21">
        <v>12.3</v>
      </c>
      <c r="L21" t="s">
        <v>111</v>
      </c>
      <c r="M21">
        <v>14.5</v>
      </c>
      <c r="N21" t="s">
        <v>108</v>
      </c>
      <c r="O21">
        <v>8.1</v>
      </c>
      <c r="P21" t="s">
        <v>112</v>
      </c>
      <c r="Q21">
        <v>1.2</v>
      </c>
      <c r="R21" t="s">
        <v>114</v>
      </c>
      <c r="S21" t="s">
        <v>67</v>
      </c>
      <c r="T21">
        <v>12.5</v>
      </c>
    </row>
    <row r="22" spans="1:20" x14ac:dyDescent="0.3">
      <c r="A22">
        <v>2017</v>
      </c>
      <c r="B22">
        <v>1</v>
      </c>
      <c r="C22" t="s">
        <v>10</v>
      </c>
      <c r="D22" t="s">
        <v>116</v>
      </c>
      <c r="E22">
        <v>15.6</v>
      </c>
      <c r="F22" t="s">
        <v>117</v>
      </c>
      <c r="G22">
        <v>3.5</v>
      </c>
      <c r="H22" t="s">
        <v>118</v>
      </c>
      <c r="I22">
        <v>10.9</v>
      </c>
      <c r="J22" t="s">
        <v>119</v>
      </c>
      <c r="K22">
        <v>9.9</v>
      </c>
      <c r="L22" t="s">
        <v>120</v>
      </c>
      <c r="M22">
        <v>16.399999999999999</v>
      </c>
      <c r="N22" t="s">
        <v>121</v>
      </c>
      <c r="O22">
        <v>5.8</v>
      </c>
      <c r="P22" t="s">
        <v>122</v>
      </c>
      <c r="Q22">
        <v>0.1</v>
      </c>
      <c r="R22" t="s">
        <v>123</v>
      </c>
      <c r="S22" t="s">
        <v>76</v>
      </c>
      <c r="T22">
        <v>11.6</v>
      </c>
    </row>
    <row r="23" spans="1:20" x14ac:dyDescent="0.3">
      <c r="A23">
        <v>2017</v>
      </c>
      <c r="B23">
        <v>2</v>
      </c>
      <c r="C23" t="s">
        <v>10</v>
      </c>
      <c r="D23" t="s">
        <v>116</v>
      </c>
      <c r="E23">
        <v>22.2</v>
      </c>
      <c r="F23" t="s">
        <v>117</v>
      </c>
      <c r="G23">
        <v>3.2</v>
      </c>
      <c r="H23" t="s">
        <v>118</v>
      </c>
      <c r="I23">
        <v>23</v>
      </c>
      <c r="J23" t="s">
        <v>119</v>
      </c>
      <c r="K23">
        <v>9.1999999999999993</v>
      </c>
      <c r="L23" t="s">
        <v>120</v>
      </c>
      <c r="M23">
        <v>4.5</v>
      </c>
      <c r="N23" t="s">
        <v>121</v>
      </c>
      <c r="O23">
        <v>7.2</v>
      </c>
      <c r="P23" t="s">
        <v>122</v>
      </c>
      <c r="Q23">
        <v>6</v>
      </c>
      <c r="R23" t="s">
        <v>124</v>
      </c>
      <c r="S23" t="s">
        <v>67</v>
      </c>
      <c r="T23">
        <v>5.4</v>
      </c>
    </row>
    <row r="24" spans="1:20" x14ac:dyDescent="0.3">
      <c r="A24">
        <v>2017</v>
      </c>
      <c r="B24">
        <v>3</v>
      </c>
      <c r="C24" t="s">
        <v>10</v>
      </c>
      <c r="D24" t="s">
        <v>116</v>
      </c>
      <c r="E24">
        <v>20.8</v>
      </c>
      <c r="F24" t="s">
        <v>117</v>
      </c>
      <c r="G24">
        <v>4</v>
      </c>
      <c r="H24" t="s">
        <v>118</v>
      </c>
      <c r="I24">
        <v>21.3</v>
      </c>
      <c r="J24" t="s">
        <v>119</v>
      </c>
      <c r="K24">
        <v>22.1</v>
      </c>
      <c r="L24" t="s">
        <v>120</v>
      </c>
      <c r="M24">
        <v>15.3</v>
      </c>
      <c r="N24" t="s">
        <v>121</v>
      </c>
      <c r="O24">
        <v>2.7</v>
      </c>
      <c r="P24" t="s">
        <v>122</v>
      </c>
      <c r="Q24">
        <v>3.6</v>
      </c>
      <c r="R24" t="s">
        <v>125</v>
      </c>
      <c r="S24" t="s">
        <v>67</v>
      </c>
      <c r="T24">
        <v>3.9</v>
      </c>
    </row>
    <row r="25" spans="1:20" x14ac:dyDescent="0.3">
      <c r="A25">
        <v>2017</v>
      </c>
      <c r="B25">
        <v>4</v>
      </c>
      <c r="C25" t="s">
        <v>10</v>
      </c>
      <c r="D25" t="s">
        <v>116</v>
      </c>
      <c r="E25">
        <v>19</v>
      </c>
      <c r="F25" t="s">
        <v>118</v>
      </c>
      <c r="G25">
        <v>14.8</v>
      </c>
      <c r="H25" t="s">
        <v>126</v>
      </c>
      <c r="I25">
        <v>16.100000000000001</v>
      </c>
      <c r="J25" t="s">
        <v>119</v>
      </c>
      <c r="K25">
        <v>14.8</v>
      </c>
      <c r="L25" t="s">
        <v>120</v>
      </c>
      <c r="M25">
        <v>4.5999999999999996</v>
      </c>
      <c r="N25" t="s">
        <v>121</v>
      </c>
      <c r="O25">
        <v>6.9</v>
      </c>
      <c r="P25" t="s">
        <v>122</v>
      </c>
      <c r="Q25">
        <v>-1.7</v>
      </c>
      <c r="R25" t="s">
        <v>125</v>
      </c>
      <c r="S25" t="s">
        <v>67</v>
      </c>
      <c r="T25">
        <v>5.2</v>
      </c>
    </row>
    <row r="26" spans="1:20" x14ac:dyDescent="0.3">
      <c r="A26">
        <v>2017</v>
      </c>
      <c r="B26">
        <v>1</v>
      </c>
      <c r="C26" t="s">
        <v>127</v>
      </c>
      <c r="D26" t="s">
        <v>128</v>
      </c>
      <c r="E26">
        <v>15.7</v>
      </c>
      <c r="F26" t="s">
        <v>129</v>
      </c>
      <c r="G26">
        <v>7.8</v>
      </c>
      <c r="H26" t="s">
        <v>126</v>
      </c>
      <c r="I26">
        <v>11.2</v>
      </c>
      <c r="J26" t="s">
        <v>130</v>
      </c>
      <c r="K26">
        <v>23.7</v>
      </c>
      <c r="L26" t="s">
        <v>131</v>
      </c>
      <c r="M26">
        <v>10.3</v>
      </c>
      <c r="N26" t="s">
        <v>132</v>
      </c>
      <c r="O26">
        <v>2.7</v>
      </c>
      <c r="P26" t="s">
        <v>133</v>
      </c>
      <c r="Q26">
        <v>19.399999999999999</v>
      </c>
      <c r="R26" t="s">
        <v>134</v>
      </c>
      <c r="S26" t="s">
        <v>67</v>
      </c>
      <c r="T26">
        <v>3</v>
      </c>
    </row>
    <row r="27" spans="1:20" x14ac:dyDescent="0.3">
      <c r="A27">
        <v>2017</v>
      </c>
      <c r="B27">
        <v>2</v>
      </c>
      <c r="C27" t="s">
        <v>127</v>
      </c>
      <c r="D27" t="s">
        <v>128</v>
      </c>
      <c r="E27">
        <v>17.5</v>
      </c>
      <c r="F27" t="s">
        <v>129</v>
      </c>
      <c r="G27">
        <v>11.5</v>
      </c>
      <c r="H27" t="s">
        <v>126</v>
      </c>
      <c r="I27">
        <v>0.5</v>
      </c>
      <c r="J27" t="s">
        <v>130</v>
      </c>
      <c r="K27">
        <v>8.6999999999999993</v>
      </c>
      <c r="L27" t="s">
        <v>131</v>
      </c>
      <c r="M27">
        <v>5.3</v>
      </c>
      <c r="N27" t="s">
        <v>135</v>
      </c>
      <c r="O27">
        <v>4.0999999999999996</v>
      </c>
      <c r="P27" t="s">
        <v>136</v>
      </c>
      <c r="Q27">
        <v>9.4</v>
      </c>
      <c r="R27" t="s">
        <v>137</v>
      </c>
      <c r="S27" t="s">
        <v>67</v>
      </c>
      <c r="T27">
        <v>13.6</v>
      </c>
    </row>
    <row r="28" spans="1:20" x14ac:dyDescent="0.3">
      <c r="A28">
        <v>2017</v>
      </c>
      <c r="B28">
        <v>3</v>
      </c>
      <c r="C28" t="s">
        <v>127</v>
      </c>
      <c r="D28" t="s">
        <v>138</v>
      </c>
      <c r="E28">
        <v>17.8</v>
      </c>
      <c r="F28" t="s">
        <v>129</v>
      </c>
      <c r="G28">
        <v>10.4</v>
      </c>
      <c r="H28" t="s">
        <v>139</v>
      </c>
      <c r="I28">
        <v>12.2</v>
      </c>
      <c r="J28" t="s">
        <v>130</v>
      </c>
      <c r="K28">
        <v>22</v>
      </c>
      <c r="L28" t="s">
        <v>134</v>
      </c>
      <c r="M28">
        <v>1.8</v>
      </c>
      <c r="N28" t="s">
        <v>140</v>
      </c>
      <c r="O28">
        <v>8.6999999999999993</v>
      </c>
      <c r="P28" t="s">
        <v>141</v>
      </c>
      <c r="Q28">
        <v>4.0999999999999996</v>
      </c>
      <c r="R28" t="s">
        <v>137</v>
      </c>
      <c r="S28" t="s">
        <v>67</v>
      </c>
      <c r="T28">
        <v>7.8</v>
      </c>
    </row>
    <row r="29" spans="1:20" x14ac:dyDescent="0.3">
      <c r="A29">
        <v>2017</v>
      </c>
      <c r="B29">
        <v>4</v>
      </c>
      <c r="C29" t="s">
        <v>127</v>
      </c>
      <c r="D29" t="s">
        <v>138</v>
      </c>
      <c r="E29">
        <v>12.5</v>
      </c>
      <c r="F29" t="s">
        <v>129</v>
      </c>
      <c r="G29">
        <v>16.399999999999999</v>
      </c>
      <c r="H29" t="s">
        <v>139</v>
      </c>
      <c r="I29">
        <v>8.1</v>
      </c>
      <c r="J29" t="s">
        <v>130</v>
      </c>
      <c r="K29">
        <v>5.4</v>
      </c>
      <c r="L29" t="s">
        <v>131</v>
      </c>
      <c r="M29">
        <v>5.7</v>
      </c>
      <c r="N29" t="s">
        <v>140</v>
      </c>
      <c r="O29">
        <v>6.8</v>
      </c>
      <c r="P29" t="s">
        <v>142</v>
      </c>
      <c r="Q29">
        <v>-3.1</v>
      </c>
      <c r="R29" t="s">
        <v>137</v>
      </c>
      <c r="S29" t="s">
        <v>67</v>
      </c>
      <c r="T29">
        <v>7</v>
      </c>
    </row>
    <row r="30" spans="1:20" x14ac:dyDescent="0.3">
      <c r="A30">
        <v>2017</v>
      </c>
      <c r="B30">
        <v>1</v>
      </c>
      <c r="C30" t="s">
        <v>14</v>
      </c>
      <c r="D30" t="s">
        <v>143</v>
      </c>
      <c r="E30">
        <v>16.5</v>
      </c>
      <c r="F30" t="s">
        <v>144</v>
      </c>
      <c r="G30">
        <v>9.6999999999999993</v>
      </c>
      <c r="H30" t="s">
        <v>145</v>
      </c>
      <c r="I30">
        <v>0.1</v>
      </c>
      <c r="J30" t="s">
        <v>146</v>
      </c>
      <c r="K30">
        <v>10.4</v>
      </c>
      <c r="L30" t="s">
        <v>147</v>
      </c>
      <c r="M30">
        <v>9.6</v>
      </c>
      <c r="N30" t="s">
        <v>115</v>
      </c>
      <c r="O30">
        <v>0</v>
      </c>
      <c r="P30" t="s">
        <v>148</v>
      </c>
      <c r="Q30">
        <v>1.3</v>
      </c>
      <c r="R30" t="s">
        <v>149</v>
      </c>
      <c r="S30" t="s">
        <v>76</v>
      </c>
      <c r="T30">
        <v>8.3000000000000007</v>
      </c>
    </row>
    <row r="31" spans="1:20" x14ac:dyDescent="0.3">
      <c r="A31">
        <v>2017</v>
      </c>
      <c r="B31">
        <v>2</v>
      </c>
      <c r="C31" t="s">
        <v>14</v>
      </c>
      <c r="D31" t="s">
        <v>143</v>
      </c>
      <c r="E31">
        <v>18.5</v>
      </c>
      <c r="F31" t="s">
        <v>144</v>
      </c>
      <c r="G31">
        <v>11.4</v>
      </c>
      <c r="H31" t="s">
        <v>149</v>
      </c>
      <c r="I31">
        <v>13.6</v>
      </c>
      <c r="J31" t="s">
        <v>146</v>
      </c>
      <c r="K31">
        <v>3.6</v>
      </c>
      <c r="L31" t="s">
        <v>147</v>
      </c>
      <c r="M31">
        <v>4.0999999999999996</v>
      </c>
      <c r="N31" t="s">
        <v>150</v>
      </c>
      <c r="O31">
        <v>4.7</v>
      </c>
      <c r="P31" t="s">
        <v>148</v>
      </c>
      <c r="Q31">
        <v>8.6999999999999993</v>
      </c>
      <c r="R31" t="s">
        <v>151</v>
      </c>
      <c r="S31" t="s">
        <v>67</v>
      </c>
      <c r="T31">
        <v>4.7</v>
      </c>
    </row>
    <row r="32" spans="1:20" x14ac:dyDescent="0.3">
      <c r="A32">
        <v>2017</v>
      </c>
      <c r="B32">
        <v>3</v>
      </c>
      <c r="C32" t="s">
        <v>14</v>
      </c>
      <c r="D32" t="s">
        <v>143</v>
      </c>
      <c r="E32">
        <v>24.8</v>
      </c>
      <c r="F32" t="s">
        <v>144</v>
      </c>
      <c r="G32">
        <v>3.1</v>
      </c>
      <c r="H32" t="s">
        <v>149</v>
      </c>
      <c r="I32">
        <v>3.3</v>
      </c>
      <c r="J32" t="s">
        <v>146</v>
      </c>
      <c r="K32">
        <v>27.4</v>
      </c>
      <c r="L32" t="s">
        <v>147</v>
      </c>
      <c r="M32">
        <v>2.9</v>
      </c>
      <c r="N32" t="s">
        <v>150</v>
      </c>
      <c r="O32">
        <v>2.9</v>
      </c>
      <c r="P32" t="s">
        <v>148</v>
      </c>
      <c r="Q32">
        <v>9.8000000000000007</v>
      </c>
      <c r="R32" t="s">
        <v>151</v>
      </c>
      <c r="S32" t="s">
        <v>67</v>
      </c>
      <c r="T32">
        <v>6.9</v>
      </c>
    </row>
    <row r="33" spans="1:20" x14ac:dyDescent="0.3">
      <c r="A33">
        <v>2017</v>
      </c>
      <c r="B33">
        <v>4</v>
      </c>
      <c r="C33" t="s">
        <v>14</v>
      </c>
      <c r="D33" t="s">
        <v>143</v>
      </c>
      <c r="E33">
        <v>23.1</v>
      </c>
      <c r="F33" t="s">
        <v>144</v>
      </c>
      <c r="G33">
        <v>1.2</v>
      </c>
      <c r="H33" t="s">
        <v>152</v>
      </c>
      <c r="I33">
        <v>7.8</v>
      </c>
      <c r="J33" t="s">
        <v>146</v>
      </c>
      <c r="K33">
        <v>11.2</v>
      </c>
      <c r="L33" t="s">
        <v>147</v>
      </c>
      <c r="M33">
        <v>14.5</v>
      </c>
      <c r="N33" t="s">
        <v>153</v>
      </c>
      <c r="O33">
        <v>0</v>
      </c>
      <c r="P33" t="s">
        <v>148</v>
      </c>
      <c r="Q33">
        <v>8.1999999999999993</v>
      </c>
      <c r="R33" t="s">
        <v>154</v>
      </c>
      <c r="S33" t="s">
        <v>67</v>
      </c>
      <c r="T33">
        <v>2.7</v>
      </c>
    </row>
    <row r="34" spans="1:20" x14ac:dyDescent="0.3">
      <c r="A34">
        <v>2017</v>
      </c>
      <c r="B34">
        <v>1</v>
      </c>
      <c r="C34" t="s">
        <v>16</v>
      </c>
      <c r="D34" t="s">
        <v>155</v>
      </c>
      <c r="E34">
        <v>17.100000000000001</v>
      </c>
      <c r="F34" t="s">
        <v>156</v>
      </c>
      <c r="G34">
        <v>14.1</v>
      </c>
      <c r="H34" t="s">
        <v>157</v>
      </c>
      <c r="I34">
        <v>10.6</v>
      </c>
      <c r="J34" t="s">
        <v>158</v>
      </c>
      <c r="K34">
        <v>23.3</v>
      </c>
      <c r="L34" t="s">
        <v>159</v>
      </c>
      <c r="M34">
        <v>13</v>
      </c>
      <c r="N34" t="s">
        <v>160</v>
      </c>
      <c r="O34">
        <v>13.3</v>
      </c>
      <c r="P34" t="s">
        <v>161</v>
      </c>
      <c r="Q34">
        <v>7</v>
      </c>
      <c r="R34" t="s">
        <v>162</v>
      </c>
      <c r="S34" t="s">
        <v>67</v>
      </c>
      <c r="T34">
        <v>1.5</v>
      </c>
    </row>
    <row r="35" spans="1:20" x14ac:dyDescent="0.3">
      <c r="A35">
        <v>2017</v>
      </c>
      <c r="B35">
        <v>2</v>
      </c>
      <c r="C35" t="s">
        <v>16</v>
      </c>
      <c r="D35" t="s">
        <v>155</v>
      </c>
      <c r="E35">
        <v>15.9</v>
      </c>
      <c r="F35" t="s">
        <v>156</v>
      </c>
      <c r="G35">
        <v>0.7</v>
      </c>
      <c r="H35" t="s">
        <v>157</v>
      </c>
      <c r="I35">
        <v>10.199999999999999</v>
      </c>
      <c r="J35" t="s">
        <v>158</v>
      </c>
      <c r="K35">
        <v>6.9</v>
      </c>
      <c r="L35" t="s">
        <v>159</v>
      </c>
      <c r="M35">
        <v>10</v>
      </c>
      <c r="N35" t="s">
        <v>160</v>
      </c>
      <c r="O35">
        <v>12.2</v>
      </c>
      <c r="P35" t="s">
        <v>161</v>
      </c>
      <c r="Q35">
        <v>8.6</v>
      </c>
      <c r="R35" t="s">
        <v>162</v>
      </c>
      <c r="S35" t="s">
        <v>67</v>
      </c>
      <c r="T35">
        <v>2.2000000000000002</v>
      </c>
    </row>
    <row r="36" spans="1:20" x14ac:dyDescent="0.3">
      <c r="A36">
        <v>2017</v>
      </c>
      <c r="B36">
        <v>3</v>
      </c>
      <c r="C36" t="s">
        <v>16</v>
      </c>
      <c r="D36" t="s">
        <v>155</v>
      </c>
      <c r="E36">
        <v>22.9</v>
      </c>
      <c r="F36" t="s">
        <v>157</v>
      </c>
      <c r="G36">
        <v>6.8</v>
      </c>
      <c r="H36" t="s">
        <v>163</v>
      </c>
      <c r="I36">
        <v>27.8</v>
      </c>
      <c r="J36" t="s">
        <v>158</v>
      </c>
      <c r="K36">
        <v>17.5</v>
      </c>
      <c r="L36" t="s">
        <v>164</v>
      </c>
      <c r="M36">
        <v>0</v>
      </c>
      <c r="N36" t="s">
        <v>160</v>
      </c>
      <c r="O36">
        <v>13.5</v>
      </c>
      <c r="P36" t="s">
        <v>161</v>
      </c>
      <c r="Q36">
        <v>1.1000000000000001</v>
      </c>
      <c r="R36" t="s">
        <v>225</v>
      </c>
      <c r="S36" t="s">
        <v>76</v>
      </c>
      <c r="T36">
        <v>1.1000000000000001</v>
      </c>
    </row>
    <row r="37" spans="1:20" x14ac:dyDescent="0.3">
      <c r="A37">
        <v>2017</v>
      </c>
      <c r="B37">
        <v>4</v>
      </c>
      <c r="C37" t="s">
        <v>16</v>
      </c>
      <c r="D37" t="s">
        <v>155</v>
      </c>
      <c r="E37">
        <v>22.6</v>
      </c>
      <c r="F37" t="s">
        <v>157</v>
      </c>
      <c r="G37">
        <v>27.1</v>
      </c>
      <c r="H37" t="s">
        <v>163</v>
      </c>
      <c r="I37">
        <v>1.2</v>
      </c>
      <c r="J37" t="s">
        <v>158</v>
      </c>
      <c r="K37">
        <v>6</v>
      </c>
      <c r="L37" t="s">
        <v>159</v>
      </c>
      <c r="M37">
        <v>12.4</v>
      </c>
      <c r="N37" t="s">
        <v>160</v>
      </c>
      <c r="O37">
        <v>10.6</v>
      </c>
      <c r="P37" t="s">
        <v>161</v>
      </c>
      <c r="Q37">
        <v>6.5</v>
      </c>
      <c r="R37" t="s">
        <v>156</v>
      </c>
      <c r="S37" t="s">
        <v>76</v>
      </c>
      <c r="T37">
        <v>13.3</v>
      </c>
    </row>
    <row r="38" spans="1:20" x14ac:dyDescent="0.3">
      <c r="A38">
        <v>2017</v>
      </c>
      <c r="B38">
        <v>1</v>
      </c>
      <c r="C38" t="s">
        <v>9</v>
      </c>
      <c r="D38" t="s">
        <v>165</v>
      </c>
      <c r="E38">
        <v>17.899999999999999</v>
      </c>
      <c r="F38" t="s">
        <v>166</v>
      </c>
      <c r="G38">
        <v>10.7</v>
      </c>
      <c r="H38" t="s">
        <v>167</v>
      </c>
      <c r="I38">
        <v>0.9</v>
      </c>
      <c r="J38" t="s">
        <v>168</v>
      </c>
      <c r="K38">
        <v>15</v>
      </c>
      <c r="L38" t="s">
        <v>169</v>
      </c>
      <c r="M38">
        <v>6.2</v>
      </c>
      <c r="N38" t="s">
        <v>170</v>
      </c>
      <c r="O38">
        <v>10.1</v>
      </c>
      <c r="P38" t="s">
        <v>171</v>
      </c>
      <c r="Q38">
        <v>6.7</v>
      </c>
      <c r="R38" t="s">
        <v>172</v>
      </c>
      <c r="S38" t="s">
        <v>67</v>
      </c>
      <c r="T38">
        <v>4.0999999999999996</v>
      </c>
    </row>
    <row r="39" spans="1:20" x14ac:dyDescent="0.3">
      <c r="A39">
        <v>2017</v>
      </c>
      <c r="B39">
        <v>2</v>
      </c>
      <c r="C39" t="s">
        <v>9</v>
      </c>
      <c r="D39" t="s">
        <v>165</v>
      </c>
      <c r="E39">
        <v>14.9</v>
      </c>
      <c r="F39" t="s">
        <v>173</v>
      </c>
      <c r="G39">
        <v>13.6</v>
      </c>
      <c r="H39" t="s">
        <v>166</v>
      </c>
      <c r="I39">
        <v>15.8</v>
      </c>
      <c r="J39" t="s">
        <v>168</v>
      </c>
      <c r="K39">
        <v>10.8</v>
      </c>
      <c r="L39" t="s">
        <v>169</v>
      </c>
      <c r="M39">
        <v>19.899999999999999</v>
      </c>
      <c r="N39" t="s">
        <v>170</v>
      </c>
      <c r="O39">
        <v>6.5</v>
      </c>
      <c r="P39" t="s">
        <v>171</v>
      </c>
      <c r="Q39">
        <v>13.9</v>
      </c>
      <c r="R39" t="s">
        <v>172</v>
      </c>
      <c r="S39" t="s">
        <v>67</v>
      </c>
      <c r="T39">
        <v>21.2</v>
      </c>
    </row>
    <row r="40" spans="1:20" x14ac:dyDescent="0.3">
      <c r="A40">
        <v>2017</v>
      </c>
      <c r="B40">
        <v>3</v>
      </c>
      <c r="C40" t="s">
        <v>9</v>
      </c>
      <c r="D40" t="s">
        <v>165</v>
      </c>
      <c r="E40">
        <v>13.7</v>
      </c>
      <c r="F40" t="s">
        <v>173</v>
      </c>
      <c r="G40">
        <v>3.5</v>
      </c>
      <c r="H40" t="s">
        <v>166</v>
      </c>
      <c r="I40">
        <v>22.9</v>
      </c>
      <c r="J40" t="s">
        <v>168</v>
      </c>
      <c r="K40">
        <v>11.1</v>
      </c>
      <c r="L40" t="s">
        <v>169</v>
      </c>
      <c r="M40">
        <v>7.5</v>
      </c>
      <c r="N40" t="s">
        <v>170</v>
      </c>
      <c r="O40">
        <v>0.9</v>
      </c>
      <c r="P40" t="s">
        <v>171</v>
      </c>
      <c r="Q40">
        <v>4.4000000000000004</v>
      </c>
      <c r="R40" t="s">
        <v>172</v>
      </c>
      <c r="S40" t="s">
        <v>67</v>
      </c>
      <c r="T40">
        <v>11</v>
      </c>
    </row>
    <row r="41" spans="1:20" x14ac:dyDescent="0.3">
      <c r="A41">
        <v>2017</v>
      </c>
      <c r="B41">
        <v>4</v>
      </c>
      <c r="C41" t="s">
        <v>9</v>
      </c>
      <c r="D41" t="s">
        <v>165</v>
      </c>
      <c r="E41">
        <v>8.5</v>
      </c>
      <c r="F41" t="s">
        <v>173</v>
      </c>
      <c r="G41">
        <v>5.9</v>
      </c>
      <c r="H41" t="s">
        <v>166</v>
      </c>
      <c r="I41">
        <v>12</v>
      </c>
      <c r="J41" t="s">
        <v>168</v>
      </c>
      <c r="K41">
        <v>21.7</v>
      </c>
      <c r="L41" t="s">
        <v>169</v>
      </c>
      <c r="M41">
        <v>8.3000000000000007</v>
      </c>
      <c r="N41" t="s">
        <v>174</v>
      </c>
      <c r="O41">
        <v>13.7</v>
      </c>
      <c r="P41" t="s">
        <v>171</v>
      </c>
      <c r="Q41">
        <v>8.3000000000000007</v>
      </c>
      <c r="R41" t="s">
        <v>172</v>
      </c>
      <c r="S41" t="s">
        <v>67</v>
      </c>
      <c r="T41">
        <v>4.7</v>
      </c>
    </row>
    <row r="42" spans="1:20" x14ac:dyDescent="0.3">
      <c r="A42">
        <v>2017</v>
      </c>
      <c r="B42">
        <v>1</v>
      </c>
      <c r="C42" t="s">
        <v>12</v>
      </c>
      <c r="D42" t="s">
        <v>175</v>
      </c>
      <c r="E42">
        <v>25.5</v>
      </c>
      <c r="F42" t="s">
        <v>176</v>
      </c>
      <c r="G42">
        <v>15.2</v>
      </c>
      <c r="H42" t="s">
        <v>177</v>
      </c>
      <c r="I42">
        <v>5.7</v>
      </c>
      <c r="J42" t="s">
        <v>178</v>
      </c>
      <c r="K42">
        <v>7</v>
      </c>
      <c r="L42" t="s">
        <v>179</v>
      </c>
      <c r="M42">
        <v>4.7</v>
      </c>
      <c r="N42" t="s">
        <v>180</v>
      </c>
      <c r="O42">
        <v>6.1</v>
      </c>
      <c r="P42" t="s">
        <v>181</v>
      </c>
      <c r="Q42">
        <v>4.4000000000000004</v>
      </c>
      <c r="R42" t="s">
        <v>182</v>
      </c>
      <c r="S42" t="s">
        <v>67</v>
      </c>
      <c r="T42">
        <v>9.6</v>
      </c>
    </row>
    <row r="43" spans="1:20" x14ac:dyDescent="0.3">
      <c r="A43">
        <v>2017</v>
      </c>
      <c r="B43">
        <v>2</v>
      </c>
      <c r="C43" t="s">
        <v>12</v>
      </c>
      <c r="D43" t="s">
        <v>183</v>
      </c>
      <c r="E43">
        <v>22.6</v>
      </c>
      <c r="F43" t="s">
        <v>176</v>
      </c>
      <c r="G43">
        <v>7.4</v>
      </c>
      <c r="H43" t="s">
        <v>177</v>
      </c>
      <c r="I43">
        <v>10.6</v>
      </c>
      <c r="J43" t="s">
        <v>184</v>
      </c>
      <c r="K43">
        <v>18.8</v>
      </c>
      <c r="L43" t="s">
        <v>178</v>
      </c>
      <c r="M43">
        <v>11.4</v>
      </c>
      <c r="N43" t="s">
        <v>180</v>
      </c>
      <c r="O43">
        <v>7.8</v>
      </c>
      <c r="P43" t="s">
        <v>181</v>
      </c>
      <c r="Q43">
        <v>5.6</v>
      </c>
      <c r="R43" t="s">
        <v>185</v>
      </c>
      <c r="S43" t="s">
        <v>67</v>
      </c>
      <c r="T43">
        <v>4.8</v>
      </c>
    </row>
    <row r="44" spans="1:20" x14ac:dyDescent="0.3">
      <c r="A44">
        <v>2017</v>
      </c>
      <c r="B44">
        <v>3</v>
      </c>
      <c r="C44" t="s">
        <v>12</v>
      </c>
      <c r="D44" t="s">
        <v>183</v>
      </c>
      <c r="E44">
        <v>7.6</v>
      </c>
      <c r="F44" t="s">
        <v>176</v>
      </c>
      <c r="G44">
        <v>25.4</v>
      </c>
      <c r="H44" t="s">
        <v>177</v>
      </c>
      <c r="I44">
        <v>12.2</v>
      </c>
      <c r="J44" t="s">
        <v>184</v>
      </c>
      <c r="K44">
        <v>10.199999999999999</v>
      </c>
      <c r="L44" t="s">
        <v>178</v>
      </c>
      <c r="M44">
        <v>18.2</v>
      </c>
      <c r="N44" t="s">
        <v>186</v>
      </c>
      <c r="O44">
        <v>1.9</v>
      </c>
      <c r="P44" t="s">
        <v>187</v>
      </c>
      <c r="Q44">
        <v>3.3</v>
      </c>
      <c r="R44" t="s">
        <v>185</v>
      </c>
      <c r="S44" t="s">
        <v>67</v>
      </c>
      <c r="T44">
        <v>2.7</v>
      </c>
    </row>
    <row r="45" spans="1:20" x14ac:dyDescent="0.3">
      <c r="A45">
        <v>2017</v>
      </c>
      <c r="B45">
        <v>4</v>
      </c>
      <c r="C45" t="s">
        <v>12</v>
      </c>
      <c r="D45" t="s">
        <v>183</v>
      </c>
      <c r="E45">
        <v>11.3</v>
      </c>
      <c r="F45" t="s">
        <v>176</v>
      </c>
      <c r="G45">
        <v>11.9</v>
      </c>
      <c r="H45" t="s">
        <v>177</v>
      </c>
      <c r="I45">
        <v>9.5</v>
      </c>
      <c r="J45" t="s">
        <v>184</v>
      </c>
      <c r="K45">
        <v>15.2</v>
      </c>
      <c r="L45" t="s">
        <v>178</v>
      </c>
      <c r="M45">
        <v>18.899999999999999</v>
      </c>
      <c r="N45" t="s">
        <v>180</v>
      </c>
      <c r="O45">
        <v>3.6</v>
      </c>
      <c r="P45" t="s">
        <v>181</v>
      </c>
      <c r="Q45">
        <v>8.6</v>
      </c>
      <c r="R45" t="s">
        <v>182</v>
      </c>
      <c r="S45" t="s">
        <v>67</v>
      </c>
      <c r="T45">
        <v>6.4</v>
      </c>
    </row>
    <row r="46" spans="1:20" x14ac:dyDescent="0.3">
      <c r="A46">
        <v>2017</v>
      </c>
      <c r="B46">
        <v>1</v>
      </c>
      <c r="C46" t="s">
        <v>6</v>
      </c>
      <c r="D46" t="s">
        <v>188</v>
      </c>
      <c r="E46">
        <v>10.6</v>
      </c>
      <c r="F46" t="s">
        <v>189</v>
      </c>
      <c r="G46">
        <v>6.2</v>
      </c>
      <c r="H46" t="s">
        <v>190</v>
      </c>
      <c r="I46">
        <v>16.399999999999999</v>
      </c>
      <c r="J46" t="s">
        <v>191</v>
      </c>
      <c r="K46">
        <v>7.3</v>
      </c>
      <c r="L46" t="s">
        <v>192</v>
      </c>
      <c r="M46">
        <v>11.3</v>
      </c>
      <c r="N46" t="s">
        <v>193</v>
      </c>
      <c r="O46">
        <v>5.0999999999999996</v>
      </c>
      <c r="P46" t="s">
        <v>187</v>
      </c>
      <c r="Q46">
        <v>-2.5</v>
      </c>
      <c r="R46" t="s">
        <v>194</v>
      </c>
      <c r="S46" t="s">
        <v>67</v>
      </c>
      <c r="T46">
        <v>2.4</v>
      </c>
    </row>
    <row r="47" spans="1:20" x14ac:dyDescent="0.3">
      <c r="A47">
        <v>2017</v>
      </c>
      <c r="B47">
        <v>2</v>
      </c>
      <c r="C47" t="s">
        <v>6</v>
      </c>
      <c r="D47" t="s">
        <v>188</v>
      </c>
      <c r="E47">
        <v>11.9</v>
      </c>
      <c r="F47" t="s">
        <v>189</v>
      </c>
      <c r="G47">
        <v>11.1</v>
      </c>
      <c r="H47" t="s">
        <v>190</v>
      </c>
      <c r="I47">
        <v>17.3</v>
      </c>
      <c r="J47" t="s">
        <v>191</v>
      </c>
      <c r="K47">
        <v>18.7</v>
      </c>
      <c r="L47" t="s">
        <v>192</v>
      </c>
      <c r="M47">
        <v>29</v>
      </c>
      <c r="N47" t="s">
        <v>195</v>
      </c>
      <c r="O47">
        <v>3.4</v>
      </c>
      <c r="P47" t="s">
        <v>196</v>
      </c>
      <c r="Q47">
        <v>17.7</v>
      </c>
      <c r="R47" t="s">
        <v>194</v>
      </c>
      <c r="S47" t="s">
        <v>67</v>
      </c>
      <c r="T47">
        <v>17.3</v>
      </c>
    </row>
    <row r="48" spans="1:20" x14ac:dyDescent="0.3">
      <c r="A48">
        <v>2017</v>
      </c>
      <c r="B48">
        <v>3</v>
      </c>
      <c r="C48" t="s">
        <v>6</v>
      </c>
      <c r="D48" t="s">
        <v>188</v>
      </c>
      <c r="E48">
        <v>26.8</v>
      </c>
      <c r="F48" t="s">
        <v>189</v>
      </c>
      <c r="G48">
        <v>18.8</v>
      </c>
      <c r="H48" t="s">
        <v>190</v>
      </c>
      <c r="I48">
        <v>13.9</v>
      </c>
      <c r="J48" t="s">
        <v>191</v>
      </c>
      <c r="K48">
        <v>7.6</v>
      </c>
      <c r="L48" t="s">
        <v>192</v>
      </c>
      <c r="M48">
        <v>1.2</v>
      </c>
      <c r="N48" t="s">
        <v>193</v>
      </c>
      <c r="O48">
        <v>0.6</v>
      </c>
      <c r="P48" t="s">
        <v>196</v>
      </c>
      <c r="Q48">
        <v>-5.3</v>
      </c>
      <c r="R48" t="s">
        <v>194</v>
      </c>
      <c r="S48" t="s">
        <v>67</v>
      </c>
      <c r="T48">
        <v>4</v>
      </c>
    </row>
    <row r="49" spans="1:20" x14ac:dyDescent="0.3">
      <c r="A49">
        <v>2017</v>
      </c>
      <c r="B49">
        <v>4</v>
      </c>
      <c r="C49" t="s">
        <v>6</v>
      </c>
      <c r="D49" t="s">
        <v>188</v>
      </c>
      <c r="E49">
        <v>20.6</v>
      </c>
      <c r="F49" t="s">
        <v>189</v>
      </c>
      <c r="G49">
        <v>32.6</v>
      </c>
      <c r="H49" t="s">
        <v>190</v>
      </c>
      <c r="I49">
        <v>3.4</v>
      </c>
      <c r="J49" t="s">
        <v>191</v>
      </c>
      <c r="K49">
        <v>10.4</v>
      </c>
      <c r="L49" t="s">
        <v>194</v>
      </c>
      <c r="M49">
        <v>6.3</v>
      </c>
      <c r="N49" t="s">
        <v>193</v>
      </c>
      <c r="O49">
        <v>5.2</v>
      </c>
      <c r="P49" t="s">
        <v>196</v>
      </c>
      <c r="Q49">
        <v>-1.3</v>
      </c>
      <c r="R49" t="s">
        <v>197</v>
      </c>
      <c r="S49" t="s">
        <v>76</v>
      </c>
      <c r="T49">
        <v>15.9</v>
      </c>
    </row>
    <row r="50" spans="1:20" x14ac:dyDescent="0.3">
      <c r="A50">
        <v>2017</v>
      </c>
      <c r="B50">
        <v>1</v>
      </c>
      <c r="C50" t="s">
        <v>5</v>
      </c>
      <c r="D50" t="s">
        <v>198</v>
      </c>
      <c r="E50">
        <v>10.7</v>
      </c>
      <c r="F50" t="s">
        <v>199</v>
      </c>
      <c r="G50">
        <v>1.8</v>
      </c>
      <c r="H50" t="s">
        <v>200</v>
      </c>
      <c r="I50">
        <v>9.3000000000000007</v>
      </c>
      <c r="J50" t="s">
        <v>201</v>
      </c>
      <c r="K50">
        <v>8.6</v>
      </c>
      <c r="L50" t="s">
        <v>202</v>
      </c>
      <c r="M50">
        <v>5.2</v>
      </c>
      <c r="N50" t="s">
        <v>203</v>
      </c>
      <c r="O50">
        <v>11.1</v>
      </c>
      <c r="P50" t="s">
        <v>204</v>
      </c>
      <c r="Q50">
        <v>5.9</v>
      </c>
      <c r="R50" t="s">
        <v>205</v>
      </c>
      <c r="S50" t="s">
        <v>76</v>
      </c>
      <c r="T50">
        <v>0.3</v>
      </c>
    </row>
    <row r="51" spans="1:20" x14ac:dyDescent="0.3">
      <c r="A51">
        <v>2017</v>
      </c>
      <c r="B51">
        <v>2</v>
      </c>
      <c r="C51" t="s">
        <v>5</v>
      </c>
      <c r="D51" t="s">
        <v>198</v>
      </c>
      <c r="E51">
        <v>30.8</v>
      </c>
      <c r="F51" t="s">
        <v>200</v>
      </c>
      <c r="G51">
        <v>28.9</v>
      </c>
      <c r="H51" t="s">
        <v>206</v>
      </c>
      <c r="I51">
        <v>12.7</v>
      </c>
      <c r="J51" t="s">
        <v>201</v>
      </c>
      <c r="K51">
        <v>13.3</v>
      </c>
      <c r="L51" t="s">
        <v>202</v>
      </c>
      <c r="M51">
        <v>6.9</v>
      </c>
      <c r="N51" t="s">
        <v>203</v>
      </c>
      <c r="O51">
        <v>14.2</v>
      </c>
      <c r="P51" t="s">
        <v>204</v>
      </c>
      <c r="Q51">
        <v>7.6</v>
      </c>
      <c r="R51" t="s">
        <v>207</v>
      </c>
      <c r="S51" t="s">
        <v>76</v>
      </c>
      <c r="T51">
        <v>18.600000000000001</v>
      </c>
    </row>
    <row r="52" spans="1:20" x14ac:dyDescent="0.3">
      <c r="A52">
        <v>2017</v>
      </c>
      <c r="B52">
        <v>3</v>
      </c>
      <c r="C52" t="s">
        <v>5</v>
      </c>
      <c r="D52" t="s">
        <v>198</v>
      </c>
      <c r="E52">
        <v>35.700000000000003</v>
      </c>
      <c r="F52" t="s">
        <v>200</v>
      </c>
      <c r="G52">
        <v>5.3</v>
      </c>
      <c r="H52" t="s">
        <v>206</v>
      </c>
      <c r="I52">
        <v>1.5</v>
      </c>
      <c r="J52" t="s">
        <v>201</v>
      </c>
      <c r="K52">
        <v>12.6</v>
      </c>
      <c r="L52" t="s">
        <v>202</v>
      </c>
      <c r="M52">
        <v>24.8</v>
      </c>
      <c r="N52" t="s">
        <v>203</v>
      </c>
      <c r="O52">
        <v>5.0999999999999996</v>
      </c>
      <c r="P52" t="s">
        <v>133</v>
      </c>
      <c r="Q52">
        <v>6.2</v>
      </c>
      <c r="R52" t="s">
        <v>207</v>
      </c>
      <c r="S52" t="s">
        <v>76</v>
      </c>
      <c r="T52">
        <v>5.3</v>
      </c>
    </row>
    <row r="53" spans="1:20" x14ac:dyDescent="0.3">
      <c r="A53">
        <v>2017</v>
      </c>
      <c r="B53">
        <v>4</v>
      </c>
      <c r="C53" t="s">
        <v>5</v>
      </c>
      <c r="D53" t="s">
        <v>198</v>
      </c>
      <c r="E53">
        <v>20.5</v>
      </c>
      <c r="F53" t="s">
        <v>200</v>
      </c>
      <c r="G53">
        <v>13.2</v>
      </c>
      <c r="H53" t="s">
        <v>206</v>
      </c>
      <c r="I53">
        <v>11.8</v>
      </c>
      <c r="J53" t="s">
        <v>201</v>
      </c>
      <c r="K53">
        <v>4.5</v>
      </c>
      <c r="L53" t="s">
        <v>202</v>
      </c>
      <c r="M53">
        <v>4.5</v>
      </c>
      <c r="N53" t="s">
        <v>203</v>
      </c>
      <c r="O53">
        <v>6.6</v>
      </c>
      <c r="P53" t="s">
        <v>204</v>
      </c>
      <c r="Q53">
        <v>21.7</v>
      </c>
      <c r="R53" t="s">
        <v>207</v>
      </c>
      <c r="S53" t="s">
        <v>76</v>
      </c>
      <c r="T53">
        <v>7.4</v>
      </c>
    </row>
    <row r="54" spans="1:20" x14ac:dyDescent="0.3">
      <c r="A54">
        <v>2017</v>
      </c>
      <c r="B54">
        <v>1</v>
      </c>
      <c r="C54" t="s">
        <v>15</v>
      </c>
      <c r="D54" t="s">
        <v>208</v>
      </c>
      <c r="E54">
        <v>18.899999999999999</v>
      </c>
      <c r="F54" t="s">
        <v>209</v>
      </c>
      <c r="G54">
        <v>5.2</v>
      </c>
      <c r="H54" t="s">
        <v>210</v>
      </c>
      <c r="I54">
        <v>3</v>
      </c>
      <c r="J54" t="s">
        <v>211</v>
      </c>
      <c r="K54">
        <v>14.7</v>
      </c>
      <c r="L54" t="s">
        <v>212</v>
      </c>
      <c r="M54">
        <v>17.399999999999999</v>
      </c>
      <c r="N54" t="s">
        <v>213</v>
      </c>
      <c r="O54">
        <v>4.3</v>
      </c>
      <c r="P54" t="s">
        <v>214</v>
      </c>
      <c r="Q54">
        <v>0.7</v>
      </c>
      <c r="R54" t="s">
        <v>215</v>
      </c>
      <c r="S54" t="s">
        <v>67</v>
      </c>
      <c r="T54">
        <v>8.3000000000000007</v>
      </c>
    </row>
    <row r="55" spans="1:20" x14ac:dyDescent="0.3">
      <c r="A55">
        <v>2017</v>
      </c>
      <c r="B55">
        <v>2</v>
      </c>
      <c r="C55" t="s">
        <v>15</v>
      </c>
      <c r="D55" t="s">
        <v>208</v>
      </c>
      <c r="E55">
        <v>24.8</v>
      </c>
      <c r="F55" t="s">
        <v>216</v>
      </c>
      <c r="G55">
        <v>4.5999999999999996</v>
      </c>
      <c r="H55" t="s">
        <v>217</v>
      </c>
      <c r="I55">
        <v>2.2000000000000002</v>
      </c>
      <c r="J55" t="s">
        <v>211</v>
      </c>
      <c r="K55">
        <v>5.3</v>
      </c>
      <c r="L55" t="s">
        <v>212</v>
      </c>
      <c r="M55">
        <v>0</v>
      </c>
      <c r="N55" t="s">
        <v>213</v>
      </c>
      <c r="O55">
        <v>20.6</v>
      </c>
      <c r="P55" t="s">
        <v>214</v>
      </c>
      <c r="Q55">
        <v>7.7</v>
      </c>
      <c r="R55" t="s">
        <v>215</v>
      </c>
      <c r="S55" t="s">
        <v>67</v>
      </c>
      <c r="T55">
        <v>4</v>
      </c>
    </row>
    <row r="56" spans="1:20" x14ac:dyDescent="0.3">
      <c r="A56">
        <v>2017</v>
      </c>
      <c r="B56">
        <v>3</v>
      </c>
      <c r="C56" t="s">
        <v>15</v>
      </c>
      <c r="D56" t="s">
        <v>208</v>
      </c>
      <c r="E56">
        <v>13.2</v>
      </c>
      <c r="F56" t="s">
        <v>216</v>
      </c>
      <c r="G56">
        <v>11.6</v>
      </c>
      <c r="H56" t="s">
        <v>210</v>
      </c>
      <c r="I56">
        <v>19.399999999999999</v>
      </c>
      <c r="J56" t="s">
        <v>211</v>
      </c>
      <c r="K56">
        <v>1.1000000000000001</v>
      </c>
      <c r="L56" t="s">
        <v>212</v>
      </c>
      <c r="M56">
        <v>20.2</v>
      </c>
      <c r="N56" t="s">
        <v>213</v>
      </c>
      <c r="O56">
        <v>18.899999999999999</v>
      </c>
      <c r="P56" t="s">
        <v>218</v>
      </c>
      <c r="Q56">
        <v>5.6</v>
      </c>
      <c r="R56" t="s">
        <v>215</v>
      </c>
      <c r="S56" t="s">
        <v>67</v>
      </c>
      <c r="T56">
        <v>25.6</v>
      </c>
    </row>
    <row r="57" spans="1:20" x14ac:dyDescent="0.3">
      <c r="A57">
        <v>2017</v>
      </c>
      <c r="B57">
        <v>4</v>
      </c>
      <c r="C57" t="s">
        <v>15</v>
      </c>
      <c r="D57" t="s">
        <v>208</v>
      </c>
      <c r="E57">
        <v>15.1</v>
      </c>
      <c r="F57" t="s">
        <v>216</v>
      </c>
      <c r="G57">
        <v>6.8</v>
      </c>
      <c r="H57" t="s">
        <v>210</v>
      </c>
      <c r="I57">
        <v>16.5</v>
      </c>
      <c r="J57" t="s">
        <v>211</v>
      </c>
      <c r="K57">
        <v>1.9</v>
      </c>
      <c r="L57" t="s">
        <v>212</v>
      </c>
      <c r="M57">
        <v>21.5</v>
      </c>
      <c r="N57" t="s">
        <v>213</v>
      </c>
      <c r="O57">
        <v>10</v>
      </c>
      <c r="P57" t="s">
        <v>214</v>
      </c>
      <c r="Q57">
        <v>21.9</v>
      </c>
      <c r="R57" t="s">
        <v>215</v>
      </c>
      <c r="S57" t="s">
        <v>67</v>
      </c>
      <c r="T57">
        <v>2.2000000000000002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8D1E-6029-471C-B2AF-E85DA8EDD0FA}">
  <sheetPr codeName="Sheet4"/>
  <dimension ref="A1:AG14"/>
  <sheetViews>
    <sheetView workbookViewId="0">
      <selection activeCell="A3" sqref="A3"/>
    </sheetView>
  </sheetViews>
  <sheetFormatPr defaultRowHeight="14.4" x14ac:dyDescent="0.3"/>
  <cols>
    <col min="1" max="1" width="16" bestFit="1" customWidth="1"/>
  </cols>
  <sheetData>
    <row r="1" spans="1:33" x14ac:dyDescent="0.3">
      <c r="A1" t="s">
        <v>5</v>
      </c>
      <c r="B1">
        <v>10.7</v>
      </c>
      <c r="C1">
        <v>1.8</v>
      </c>
      <c r="D1">
        <v>9.3000000000000007</v>
      </c>
      <c r="E1">
        <v>8.6</v>
      </c>
      <c r="F1">
        <v>5.2</v>
      </c>
      <c r="G1">
        <v>11.1</v>
      </c>
      <c r="H1">
        <v>5.9</v>
      </c>
      <c r="I1">
        <v>0.3</v>
      </c>
      <c r="J1">
        <v>30.8</v>
      </c>
      <c r="K1">
        <v>28.9</v>
      </c>
      <c r="L1">
        <v>12.7</v>
      </c>
      <c r="M1">
        <v>13.3</v>
      </c>
      <c r="N1">
        <v>6.9</v>
      </c>
      <c r="O1">
        <v>14.2</v>
      </c>
      <c r="P1">
        <v>7.6</v>
      </c>
      <c r="Q1">
        <v>18.600000000000001</v>
      </c>
      <c r="R1">
        <v>35.700000000000003</v>
      </c>
      <c r="S1">
        <v>5.3</v>
      </c>
      <c r="T1">
        <v>1.5</v>
      </c>
      <c r="U1">
        <v>12.6</v>
      </c>
      <c r="V1">
        <v>24.8</v>
      </c>
      <c r="W1">
        <v>5.0999999999999996</v>
      </c>
      <c r="X1">
        <v>6.2</v>
      </c>
      <c r="Y1">
        <v>5.3</v>
      </c>
      <c r="Z1">
        <v>20.5</v>
      </c>
      <c r="AA1">
        <v>13.2</v>
      </c>
      <c r="AB1">
        <v>11.8</v>
      </c>
      <c r="AC1">
        <v>4.5</v>
      </c>
      <c r="AD1">
        <v>4.5</v>
      </c>
      <c r="AE1">
        <v>6.6</v>
      </c>
      <c r="AF1">
        <v>21.7</v>
      </c>
      <c r="AG1">
        <v>7.4</v>
      </c>
    </row>
    <row r="2" spans="1:33" x14ac:dyDescent="0.3">
      <c r="A2" t="s">
        <v>127</v>
      </c>
      <c r="B2">
        <v>15.7</v>
      </c>
      <c r="C2">
        <v>7.8</v>
      </c>
      <c r="D2">
        <v>11.2</v>
      </c>
      <c r="E2">
        <v>23.7</v>
      </c>
      <c r="F2">
        <v>10.3</v>
      </c>
      <c r="G2">
        <v>2.7</v>
      </c>
      <c r="H2">
        <v>19.399999999999999</v>
      </c>
      <c r="I2">
        <v>3</v>
      </c>
      <c r="J2">
        <v>17.5</v>
      </c>
      <c r="K2">
        <v>11.5</v>
      </c>
      <c r="L2">
        <v>0.5</v>
      </c>
      <c r="M2">
        <v>8.6999999999999993</v>
      </c>
      <c r="N2">
        <v>5.3</v>
      </c>
      <c r="O2">
        <v>4.0999999999999996</v>
      </c>
      <c r="P2">
        <v>9.4</v>
      </c>
      <c r="Q2">
        <v>13.6</v>
      </c>
      <c r="R2">
        <v>17.8</v>
      </c>
      <c r="S2">
        <v>10.4</v>
      </c>
      <c r="T2">
        <v>12.2</v>
      </c>
      <c r="U2">
        <v>22</v>
      </c>
      <c r="V2">
        <v>1.8</v>
      </c>
      <c r="W2">
        <v>8.6999999999999993</v>
      </c>
      <c r="X2">
        <v>4.0999999999999996</v>
      </c>
      <c r="Y2">
        <v>7.8</v>
      </c>
      <c r="Z2">
        <v>12.5</v>
      </c>
      <c r="AA2">
        <v>16.399999999999999</v>
      </c>
      <c r="AB2">
        <v>8.1</v>
      </c>
      <c r="AC2">
        <v>5.4</v>
      </c>
      <c r="AD2">
        <v>5.7</v>
      </c>
      <c r="AE2">
        <v>6.8</v>
      </c>
      <c r="AF2">
        <v>-3.1</v>
      </c>
      <c r="AG2">
        <v>7</v>
      </c>
    </row>
    <row r="3" spans="1:33" x14ac:dyDescent="0.3">
      <c r="A3" t="s">
        <v>9</v>
      </c>
      <c r="B3">
        <v>17.899999999999999</v>
      </c>
      <c r="C3">
        <v>10.7</v>
      </c>
      <c r="D3">
        <v>0.9</v>
      </c>
      <c r="E3">
        <v>15</v>
      </c>
      <c r="F3">
        <v>6.2</v>
      </c>
      <c r="G3">
        <v>10.1</v>
      </c>
      <c r="H3">
        <v>6.7</v>
      </c>
      <c r="I3">
        <v>4.0999999999999996</v>
      </c>
      <c r="J3">
        <v>14.9</v>
      </c>
      <c r="K3">
        <v>13.6</v>
      </c>
      <c r="L3">
        <v>15.8</v>
      </c>
      <c r="M3">
        <v>10.8</v>
      </c>
      <c r="N3">
        <v>19.899999999999999</v>
      </c>
      <c r="O3">
        <v>6.5</v>
      </c>
      <c r="P3">
        <v>13.9</v>
      </c>
      <c r="Q3">
        <v>21.2</v>
      </c>
      <c r="R3">
        <v>13.7</v>
      </c>
      <c r="S3">
        <v>3.5</v>
      </c>
      <c r="T3">
        <v>22.9</v>
      </c>
      <c r="U3">
        <v>11.1</v>
      </c>
      <c r="V3">
        <v>7.5</v>
      </c>
      <c r="W3">
        <v>0.9</v>
      </c>
      <c r="X3">
        <v>4.4000000000000004</v>
      </c>
      <c r="Y3">
        <v>11</v>
      </c>
      <c r="Z3">
        <v>8.5</v>
      </c>
      <c r="AA3">
        <v>5.9</v>
      </c>
      <c r="AB3">
        <v>12</v>
      </c>
      <c r="AC3">
        <v>21.7</v>
      </c>
      <c r="AD3">
        <v>8.3000000000000007</v>
      </c>
      <c r="AE3">
        <v>13.7</v>
      </c>
      <c r="AF3">
        <v>8.3000000000000007</v>
      </c>
      <c r="AG3">
        <v>4.7</v>
      </c>
    </row>
    <row r="4" spans="1:33" x14ac:dyDescent="0.3">
      <c r="A4" t="s">
        <v>11</v>
      </c>
      <c r="B4">
        <v>8.3000000000000007</v>
      </c>
      <c r="C4">
        <v>18.100000000000001</v>
      </c>
      <c r="D4">
        <v>10</v>
      </c>
      <c r="E4">
        <v>5.3</v>
      </c>
      <c r="F4">
        <v>2.2000000000000002</v>
      </c>
      <c r="G4">
        <v>6.9</v>
      </c>
      <c r="H4">
        <v>13.2</v>
      </c>
      <c r="I4">
        <v>14</v>
      </c>
      <c r="J4">
        <v>15.3</v>
      </c>
      <c r="K4">
        <v>25.1</v>
      </c>
      <c r="L4">
        <v>11.5</v>
      </c>
      <c r="M4">
        <v>15.4</v>
      </c>
      <c r="N4">
        <v>4.0999999999999996</v>
      </c>
      <c r="O4">
        <v>20.3</v>
      </c>
      <c r="P4">
        <v>9</v>
      </c>
      <c r="Q4">
        <v>0.9</v>
      </c>
      <c r="R4">
        <v>33.5</v>
      </c>
      <c r="S4">
        <v>35.4</v>
      </c>
      <c r="T4">
        <v>1.3</v>
      </c>
      <c r="U4">
        <v>8.1999999999999993</v>
      </c>
      <c r="V4">
        <v>17.7</v>
      </c>
      <c r="W4">
        <v>0.6</v>
      </c>
      <c r="X4">
        <v>6.1</v>
      </c>
      <c r="Y4">
        <v>7.6</v>
      </c>
      <c r="Z4">
        <v>27.6</v>
      </c>
      <c r="AA4">
        <v>31</v>
      </c>
      <c r="AB4">
        <v>-0.7</v>
      </c>
      <c r="AC4">
        <v>12.3</v>
      </c>
      <c r="AD4">
        <v>5.6</v>
      </c>
      <c r="AE4">
        <v>20.9</v>
      </c>
      <c r="AF4">
        <v>10.6</v>
      </c>
      <c r="AG4">
        <v>8</v>
      </c>
    </row>
    <row r="5" spans="1:33" x14ac:dyDescent="0.3">
      <c r="A5" t="s">
        <v>13</v>
      </c>
      <c r="B5">
        <v>-3</v>
      </c>
      <c r="C5">
        <v>18.399999999999999</v>
      </c>
      <c r="D5">
        <v>17.3</v>
      </c>
      <c r="E5">
        <v>12</v>
      </c>
      <c r="F5">
        <v>8.5</v>
      </c>
      <c r="G5">
        <v>8.1</v>
      </c>
      <c r="H5">
        <v>1.1000000000000001</v>
      </c>
      <c r="I5">
        <v>3</v>
      </c>
      <c r="J5">
        <v>12.5</v>
      </c>
      <c r="K5">
        <v>7.3</v>
      </c>
      <c r="L5">
        <v>26</v>
      </c>
      <c r="M5">
        <v>14.5</v>
      </c>
      <c r="N5">
        <v>4</v>
      </c>
      <c r="O5">
        <v>4.5</v>
      </c>
      <c r="P5">
        <v>1.1000000000000001</v>
      </c>
      <c r="Q5">
        <v>7.8</v>
      </c>
      <c r="R5">
        <v>15.5</v>
      </c>
      <c r="S5">
        <v>10.4</v>
      </c>
      <c r="T5">
        <v>9</v>
      </c>
      <c r="U5">
        <v>8.6</v>
      </c>
      <c r="V5">
        <v>22.8</v>
      </c>
      <c r="W5">
        <v>12.3</v>
      </c>
      <c r="X5">
        <v>8.4</v>
      </c>
      <c r="Y5">
        <v>7.6</v>
      </c>
      <c r="Z5">
        <v>28.3</v>
      </c>
      <c r="AA5">
        <v>12.3</v>
      </c>
      <c r="AB5">
        <v>2.8</v>
      </c>
      <c r="AC5">
        <v>16.3</v>
      </c>
      <c r="AD5">
        <v>7.9</v>
      </c>
      <c r="AE5">
        <v>6.1</v>
      </c>
      <c r="AF5">
        <v>8.6999999999999993</v>
      </c>
      <c r="AG5">
        <v>0</v>
      </c>
    </row>
    <row r="6" spans="1:33" x14ac:dyDescent="0.3">
      <c r="A6" t="s">
        <v>15</v>
      </c>
      <c r="B6">
        <v>18.899999999999999</v>
      </c>
      <c r="C6">
        <v>5.2</v>
      </c>
      <c r="D6">
        <v>3</v>
      </c>
      <c r="E6">
        <v>14.7</v>
      </c>
      <c r="F6">
        <v>17.399999999999999</v>
      </c>
      <c r="G6">
        <v>4.3</v>
      </c>
      <c r="H6">
        <v>0.7</v>
      </c>
      <c r="I6">
        <v>8.3000000000000007</v>
      </c>
      <c r="J6">
        <v>24.8</v>
      </c>
      <c r="K6">
        <v>4.5999999999999996</v>
      </c>
      <c r="L6">
        <v>2.2000000000000002</v>
      </c>
      <c r="M6">
        <v>5.3</v>
      </c>
      <c r="N6">
        <v>0</v>
      </c>
      <c r="O6">
        <v>20.6</v>
      </c>
      <c r="P6">
        <v>7.7</v>
      </c>
      <c r="Q6">
        <v>4</v>
      </c>
      <c r="R6">
        <v>13.2</v>
      </c>
      <c r="S6">
        <v>11.6</v>
      </c>
      <c r="T6">
        <v>19.399999999999999</v>
      </c>
      <c r="U6">
        <v>1.1000000000000001</v>
      </c>
      <c r="V6">
        <v>20.2</v>
      </c>
      <c r="W6">
        <v>18.899999999999999</v>
      </c>
      <c r="X6">
        <v>5.6</v>
      </c>
      <c r="Y6">
        <v>25.6</v>
      </c>
      <c r="Z6">
        <v>15.1</v>
      </c>
      <c r="AA6">
        <v>6.8</v>
      </c>
      <c r="AB6">
        <v>16.5</v>
      </c>
      <c r="AC6">
        <v>1.9</v>
      </c>
      <c r="AD6">
        <v>21.5</v>
      </c>
      <c r="AE6">
        <v>10</v>
      </c>
      <c r="AF6">
        <v>21.9</v>
      </c>
      <c r="AG6">
        <v>2.2000000000000002</v>
      </c>
    </row>
    <row r="7" spans="1:33" x14ac:dyDescent="0.3">
      <c r="A7" t="s">
        <v>17</v>
      </c>
      <c r="B7">
        <v>18.8</v>
      </c>
      <c r="C7">
        <v>9</v>
      </c>
      <c r="D7">
        <v>22.5</v>
      </c>
      <c r="E7">
        <v>24.2</v>
      </c>
      <c r="F7">
        <v>4.9000000000000004</v>
      </c>
      <c r="G7">
        <v>2.2999999999999998</v>
      </c>
      <c r="H7">
        <v>8.8000000000000007</v>
      </c>
      <c r="I7">
        <v>16.5</v>
      </c>
      <c r="J7">
        <v>13</v>
      </c>
      <c r="K7">
        <v>6.4</v>
      </c>
      <c r="L7">
        <v>12.9</v>
      </c>
      <c r="M7">
        <v>4.0999999999999996</v>
      </c>
      <c r="N7">
        <v>16.3</v>
      </c>
      <c r="O7">
        <v>0.6</v>
      </c>
      <c r="P7">
        <v>13.7</v>
      </c>
      <c r="Q7">
        <v>4.2</v>
      </c>
      <c r="R7">
        <v>11.7</v>
      </c>
      <c r="S7">
        <v>16.2</v>
      </c>
      <c r="T7">
        <v>3.1</v>
      </c>
      <c r="U7">
        <v>24.4</v>
      </c>
      <c r="V7">
        <v>33.299999999999997</v>
      </c>
      <c r="W7">
        <v>0</v>
      </c>
      <c r="X7">
        <v>-5.2</v>
      </c>
      <c r="Y7">
        <v>16.899999999999999</v>
      </c>
      <c r="Z7">
        <v>15.7</v>
      </c>
      <c r="AA7">
        <v>6.9</v>
      </c>
      <c r="AB7">
        <v>27.9</v>
      </c>
      <c r="AC7">
        <v>12.3</v>
      </c>
      <c r="AD7">
        <v>14.5</v>
      </c>
      <c r="AE7">
        <v>8.1</v>
      </c>
      <c r="AF7">
        <v>1.2</v>
      </c>
      <c r="AG7">
        <v>12.5</v>
      </c>
    </row>
    <row r="8" spans="1:33" x14ac:dyDescent="0.3">
      <c r="A8" t="s">
        <v>6</v>
      </c>
      <c r="B8">
        <v>10.6</v>
      </c>
      <c r="C8">
        <v>6.2</v>
      </c>
      <c r="D8">
        <v>16.399999999999999</v>
      </c>
      <c r="E8">
        <v>7.3</v>
      </c>
      <c r="F8">
        <v>11.3</v>
      </c>
      <c r="G8">
        <v>5.0999999999999996</v>
      </c>
      <c r="H8">
        <v>-2.5</v>
      </c>
      <c r="I8">
        <v>2.4</v>
      </c>
      <c r="J8">
        <v>11.9</v>
      </c>
      <c r="K8">
        <v>11.1</v>
      </c>
      <c r="L8">
        <v>17.3</v>
      </c>
      <c r="M8">
        <v>18.7</v>
      </c>
      <c r="N8">
        <v>29</v>
      </c>
      <c r="O8">
        <v>3.4</v>
      </c>
      <c r="P8">
        <v>17.7</v>
      </c>
      <c r="Q8">
        <v>17.3</v>
      </c>
      <c r="R8">
        <v>26.8</v>
      </c>
      <c r="S8">
        <v>18.8</v>
      </c>
      <c r="T8">
        <v>13.9</v>
      </c>
      <c r="U8">
        <v>7.6</v>
      </c>
      <c r="V8">
        <v>1.2</v>
      </c>
      <c r="W8">
        <v>0.6</v>
      </c>
      <c r="X8">
        <v>-5.3</v>
      </c>
      <c r="Y8">
        <v>4</v>
      </c>
      <c r="Z8">
        <v>20.6</v>
      </c>
      <c r="AA8">
        <v>32.6</v>
      </c>
      <c r="AB8">
        <v>3.4</v>
      </c>
      <c r="AC8">
        <v>10.4</v>
      </c>
      <c r="AD8">
        <v>6.3</v>
      </c>
      <c r="AE8">
        <v>5.2</v>
      </c>
      <c r="AF8">
        <v>-1.3</v>
      </c>
      <c r="AG8">
        <v>15.9</v>
      </c>
    </row>
    <row r="9" spans="1:33" x14ac:dyDescent="0.3">
      <c r="A9" t="s">
        <v>8</v>
      </c>
      <c r="B9">
        <v>13.1</v>
      </c>
      <c r="C9">
        <v>7</v>
      </c>
      <c r="D9">
        <v>43.1</v>
      </c>
      <c r="E9">
        <v>9.1999999999999993</v>
      </c>
      <c r="F9">
        <v>12.6</v>
      </c>
      <c r="G9">
        <v>15.4</v>
      </c>
      <c r="H9">
        <v>28.8</v>
      </c>
      <c r="I9">
        <v>19.899999999999999</v>
      </c>
      <c r="J9">
        <v>11.8</v>
      </c>
      <c r="K9">
        <v>13.1</v>
      </c>
      <c r="L9">
        <v>24.4</v>
      </c>
      <c r="M9">
        <v>10.1</v>
      </c>
      <c r="N9">
        <v>11.1</v>
      </c>
      <c r="O9">
        <v>10.8</v>
      </c>
      <c r="P9">
        <v>-0.7</v>
      </c>
      <c r="Q9">
        <v>3.3</v>
      </c>
      <c r="R9">
        <v>8.3000000000000007</v>
      </c>
      <c r="S9">
        <v>15.5</v>
      </c>
      <c r="T9">
        <v>24.8</v>
      </c>
      <c r="U9">
        <v>12.8</v>
      </c>
      <c r="V9">
        <v>1.3</v>
      </c>
      <c r="W9">
        <v>0.8</v>
      </c>
      <c r="X9">
        <v>13.2</v>
      </c>
      <c r="Y9">
        <v>17.600000000000001</v>
      </c>
      <c r="Z9">
        <v>27.3</v>
      </c>
      <c r="AA9">
        <v>22.5</v>
      </c>
      <c r="AB9">
        <v>14.1</v>
      </c>
      <c r="AC9">
        <v>1.6</v>
      </c>
      <c r="AD9">
        <v>9.9</v>
      </c>
      <c r="AE9">
        <v>1.4</v>
      </c>
      <c r="AF9">
        <v>11.9</v>
      </c>
      <c r="AG9">
        <v>8.1999999999999993</v>
      </c>
    </row>
    <row r="10" spans="1:33" x14ac:dyDescent="0.3">
      <c r="A10" t="s">
        <v>10</v>
      </c>
      <c r="B10">
        <v>15.6</v>
      </c>
      <c r="C10">
        <v>3.5</v>
      </c>
      <c r="D10">
        <v>10.9</v>
      </c>
      <c r="E10">
        <v>9.9</v>
      </c>
      <c r="F10">
        <v>16.399999999999999</v>
      </c>
      <c r="G10">
        <v>5.8</v>
      </c>
      <c r="H10">
        <v>0.1</v>
      </c>
      <c r="I10">
        <v>11.6</v>
      </c>
      <c r="J10">
        <v>22.2</v>
      </c>
      <c r="K10">
        <v>3.2</v>
      </c>
      <c r="L10">
        <v>23</v>
      </c>
      <c r="M10">
        <v>9.1999999999999993</v>
      </c>
      <c r="N10">
        <v>4.5</v>
      </c>
      <c r="O10">
        <v>7.2</v>
      </c>
      <c r="P10">
        <v>6</v>
      </c>
      <c r="Q10">
        <v>5.4</v>
      </c>
      <c r="R10">
        <v>20.8</v>
      </c>
      <c r="S10">
        <v>4</v>
      </c>
      <c r="T10">
        <v>21.3</v>
      </c>
      <c r="U10">
        <v>22.1</v>
      </c>
      <c r="V10">
        <v>15.3</v>
      </c>
      <c r="W10">
        <v>2.7</v>
      </c>
      <c r="X10">
        <v>3.6</v>
      </c>
      <c r="Y10">
        <v>3.9</v>
      </c>
      <c r="Z10">
        <v>19</v>
      </c>
      <c r="AA10">
        <v>14.8</v>
      </c>
      <c r="AB10">
        <v>16.100000000000001</v>
      </c>
      <c r="AC10">
        <v>14.8</v>
      </c>
      <c r="AD10">
        <v>4.5999999999999996</v>
      </c>
      <c r="AE10">
        <v>6.9</v>
      </c>
      <c r="AF10">
        <v>-1.7</v>
      </c>
      <c r="AG10">
        <v>5.2</v>
      </c>
    </row>
    <row r="11" spans="1:33" x14ac:dyDescent="0.3">
      <c r="A11" t="s">
        <v>12</v>
      </c>
      <c r="B11">
        <v>25.5</v>
      </c>
      <c r="C11">
        <v>15.2</v>
      </c>
      <c r="D11">
        <v>5.7</v>
      </c>
      <c r="E11">
        <v>7</v>
      </c>
      <c r="F11">
        <v>4.7</v>
      </c>
      <c r="G11">
        <v>6.1</v>
      </c>
      <c r="H11">
        <v>4.4000000000000004</v>
      </c>
      <c r="I11">
        <v>9.6</v>
      </c>
      <c r="J11">
        <v>22.6</v>
      </c>
      <c r="K11">
        <v>7.4</v>
      </c>
      <c r="L11">
        <v>10.6</v>
      </c>
      <c r="M11">
        <v>18.8</v>
      </c>
      <c r="N11">
        <v>11.4</v>
      </c>
      <c r="O11">
        <v>7.8</v>
      </c>
      <c r="P11">
        <v>5.6</v>
      </c>
      <c r="Q11">
        <v>4.8</v>
      </c>
      <c r="R11">
        <v>7.6</v>
      </c>
      <c r="S11">
        <v>25.4</v>
      </c>
      <c r="T11">
        <v>12.2</v>
      </c>
      <c r="U11">
        <v>10.199999999999999</v>
      </c>
      <c r="V11">
        <v>18.2</v>
      </c>
      <c r="W11">
        <v>1.9</v>
      </c>
      <c r="X11">
        <v>3.3</v>
      </c>
      <c r="Y11">
        <v>2.7</v>
      </c>
      <c r="Z11">
        <v>11.3</v>
      </c>
      <c r="AA11">
        <v>11.9</v>
      </c>
      <c r="AB11">
        <v>9.5</v>
      </c>
      <c r="AC11">
        <v>15.2</v>
      </c>
      <c r="AD11">
        <v>18.899999999999999</v>
      </c>
      <c r="AE11">
        <v>3.6</v>
      </c>
      <c r="AF11">
        <v>8.6</v>
      </c>
      <c r="AG11">
        <v>6.4</v>
      </c>
    </row>
    <row r="12" spans="1:33" x14ac:dyDescent="0.3">
      <c r="A12" t="s">
        <v>14</v>
      </c>
      <c r="B12">
        <v>16.5</v>
      </c>
      <c r="C12">
        <v>9.6999999999999993</v>
      </c>
      <c r="D12">
        <v>0.1</v>
      </c>
      <c r="E12">
        <v>10.4</v>
      </c>
      <c r="F12">
        <v>9.6</v>
      </c>
      <c r="G12">
        <v>0</v>
      </c>
      <c r="H12">
        <v>1.3</v>
      </c>
      <c r="I12">
        <v>8.3000000000000007</v>
      </c>
      <c r="J12">
        <v>18.5</v>
      </c>
      <c r="K12">
        <v>11.4</v>
      </c>
      <c r="L12">
        <v>13.6</v>
      </c>
      <c r="M12">
        <v>3.6</v>
      </c>
      <c r="N12">
        <v>4.0999999999999996</v>
      </c>
      <c r="O12">
        <v>4.7</v>
      </c>
      <c r="P12">
        <v>8.6999999999999993</v>
      </c>
      <c r="Q12">
        <v>4.7</v>
      </c>
      <c r="R12">
        <v>24.8</v>
      </c>
      <c r="S12">
        <v>3.1</v>
      </c>
      <c r="T12">
        <v>3.3</v>
      </c>
      <c r="U12">
        <v>27.4</v>
      </c>
      <c r="V12">
        <v>2.9</v>
      </c>
      <c r="W12">
        <v>2.9</v>
      </c>
      <c r="X12">
        <v>9.8000000000000007</v>
      </c>
      <c r="Y12">
        <v>6.9</v>
      </c>
      <c r="Z12">
        <v>23.1</v>
      </c>
      <c r="AA12">
        <v>1.2</v>
      </c>
      <c r="AB12">
        <v>7.8</v>
      </c>
      <c r="AC12">
        <v>11.2</v>
      </c>
      <c r="AD12">
        <v>14.5</v>
      </c>
      <c r="AE12">
        <v>0</v>
      </c>
      <c r="AF12">
        <v>8.1999999999999993</v>
      </c>
      <c r="AG12">
        <v>2.7</v>
      </c>
    </row>
    <row r="13" spans="1:33" x14ac:dyDescent="0.3">
      <c r="A13" t="s">
        <v>16</v>
      </c>
      <c r="B13">
        <v>17.100000000000001</v>
      </c>
      <c r="C13">
        <v>14.1</v>
      </c>
      <c r="D13">
        <v>10.6</v>
      </c>
      <c r="E13">
        <v>23.3</v>
      </c>
      <c r="F13">
        <v>13</v>
      </c>
      <c r="G13">
        <v>13.3</v>
      </c>
      <c r="H13">
        <v>7</v>
      </c>
      <c r="I13">
        <v>1.5</v>
      </c>
      <c r="J13">
        <v>15.9</v>
      </c>
      <c r="K13">
        <v>0.7</v>
      </c>
      <c r="L13">
        <v>10.199999999999999</v>
      </c>
      <c r="M13">
        <v>6.9</v>
      </c>
      <c r="N13">
        <v>10</v>
      </c>
      <c r="O13">
        <v>12.2</v>
      </c>
      <c r="P13">
        <v>8.6</v>
      </c>
      <c r="Q13">
        <v>2.2000000000000002</v>
      </c>
      <c r="R13">
        <v>22.9</v>
      </c>
      <c r="S13">
        <v>6.8</v>
      </c>
      <c r="T13">
        <v>27.8</v>
      </c>
      <c r="U13">
        <v>17.5</v>
      </c>
      <c r="V13">
        <v>0</v>
      </c>
      <c r="W13">
        <v>13.5</v>
      </c>
      <c r="X13">
        <v>1.1000000000000001</v>
      </c>
      <c r="Y13">
        <v>1.1000000000000001</v>
      </c>
      <c r="Z13">
        <v>22.6</v>
      </c>
      <c r="AA13">
        <v>27.1</v>
      </c>
      <c r="AB13">
        <v>1.2</v>
      </c>
      <c r="AC13">
        <v>6</v>
      </c>
      <c r="AD13">
        <v>12.4</v>
      </c>
      <c r="AE13">
        <v>10.6</v>
      </c>
      <c r="AF13">
        <v>6.5</v>
      </c>
      <c r="AG13">
        <v>13.3</v>
      </c>
    </row>
    <row r="14" spans="1:33" x14ac:dyDescent="0.3">
      <c r="A14" t="s">
        <v>18</v>
      </c>
      <c r="B14">
        <v>18.7</v>
      </c>
      <c r="C14">
        <v>9.6</v>
      </c>
      <c r="D14">
        <v>6.4</v>
      </c>
      <c r="E14">
        <v>8</v>
      </c>
      <c r="F14">
        <v>1.3</v>
      </c>
      <c r="G14">
        <v>2.8</v>
      </c>
      <c r="H14">
        <v>21</v>
      </c>
      <c r="I14">
        <v>7.9</v>
      </c>
      <c r="J14">
        <v>21.2</v>
      </c>
      <c r="K14">
        <v>3.7</v>
      </c>
      <c r="L14">
        <v>1.3</v>
      </c>
      <c r="M14">
        <v>7.4</v>
      </c>
      <c r="N14">
        <v>1.2</v>
      </c>
      <c r="O14">
        <v>1.5</v>
      </c>
      <c r="P14">
        <v>2.8</v>
      </c>
      <c r="Q14">
        <v>7.4</v>
      </c>
      <c r="R14">
        <v>5.2</v>
      </c>
      <c r="S14">
        <v>6.4</v>
      </c>
      <c r="T14">
        <v>6.6</v>
      </c>
      <c r="U14">
        <v>21.5</v>
      </c>
      <c r="V14">
        <v>5.7</v>
      </c>
      <c r="W14">
        <v>2.2000000000000002</v>
      </c>
      <c r="X14">
        <v>1.9</v>
      </c>
      <c r="Y14">
        <v>2.5</v>
      </c>
      <c r="Z14">
        <v>9.6999999999999993</v>
      </c>
      <c r="AA14">
        <v>3.2</v>
      </c>
      <c r="AB14">
        <v>4.8</v>
      </c>
      <c r="AC14">
        <v>7</v>
      </c>
      <c r="AD14">
        <v>3.7</v>
      </c>
      <c r="AE14">
        <v>5.5</v>
      </c>
      <c r="AF14">
        <v>2.2000000000000002</v>
      </c>
      <c r="AG14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B70F-3E91-46AD-ABA0-3D8FD6EEC567}">
  <sheetPr codeName="Sheet2"/>
  <dimension ref="A1:AJ15"/>
  <sheetViews>
    <sheetView tabSelected="1" workbookViewId="0">
      <pane xSplit="1" topLeftCell="B1" activePane="topRight" state="frozen"/>
      <selection pane="topRight" activeCell="H11" sqref="H11"/>
    </sheetView>
  </sheetViews>
  <sheetFormatPr defaultRowHeight="14.4" x14ac:dyDescent="0.3"/>
  <cols>
    <col min="1" max="1" width="16" style="1" bestFit="1" customWidth="1"/>
    <col min="2" max="22" width="8.88671875" style="1"/>
    <col min="23" max="23" width="9.5546875" style="1" bestFit="1" customWidth="1"/>
    <col min="24" max="24" width="9.5546875" style="1" customWidth="1"/>
    <col min="25" max="25" width="10.109375" style="1" bestFit="1" customWidth="1"/>
    <col min="26" max="26" width="9.5546875" style="1" bestFit="1" customWidth="1"/>
    <col min="27" max="27" width="9.44140625" style="1" bestFit="1" customWidth="1"/>
    <col min="28" max="28" width="10" style="1" bestFit="1" customWidth="1"/>
    <col min="29" max="29" width="9.88671875" style="1" bestFit="1" customWidth="1"/>
    <col min="30" max="30" width="10" style="1" bestFit="1" customWidth="1"/>
    <col min="31" max="31" width="5" style="1" bestFit="1" customWidth="1"/>
    <col min="32" max="32" width="12.6640625" style="1" bestFit="1" customWidth="1"/>
    <col min="33" max="34" width="12.6640625" style="1" customWidth="1"/>
    <col min="35" max="35" width="22.44140625" style="1" customWidth="1"/>
    <col min="36" max="36" width="20.21875" style="1" customWidth="1"/>
    <col min="37" max="16384" width="8.88671875" style="1"/>
  </cols>
  <sheetData>
    <row r="1" spans="1:36" ht="15.6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233</v>
      </c>
      <c r="Q1" s="1" t="s">
        <v>36</v>
      </c>
      <c r="R1" s="1" t="s">
        <v>34</v>
      </c>
      <c r="S1" s="1" t="s">
        <v>35</v>
      </c>
      <c r="T1" s="1" t="s">
        <v>235</v>
      </c>
      <c r="U1" s="1" t="s">
        <v>236</v>
      </c>
      <c r="V1" s="1" t="s">
        <v>226</v>
      </c>
      <c r="W1" s="1" t="s">
        <v>220</v>
      </c>
      <c r="X1" s="1" t="s">
        <v>231</v>
      </c>
      <c r="Y1" s="1" t="s">
        <v>232</v>
      </c>
      <c r="Z1" s="1" t="s">
        <v>227</v>
      </c>
      <c r="AA1" s="1" t="s">
        <v>228</v>
      </c>
      <c r="AB1" s="1" t="s">
        <v>229</v>
      </c>
      <c r="AC1" s="1" t="s">
        <v>230</v>
      </c>
      <c r="AD1" s="1" t="s">
        <v>234</v>
      </c>
      <c r="AE1" s="1" t="s">
        <v>219</v>
      </c>
      <c r="AF1" s="1" t="s">
        <v>240</v>
      </c>
      <c r="AG1" s="1" t="s">
        <v>239</v>
      </c>
      <c r="AI1" s="2" t="s">
        <v>237</v>
      </c>
      <c r="AJ1" s="2" t="s">
        <v>238</v>
      </c>
    </row>
    <row r="2" spans="1:36" ht="15.6" x14ac:dyDescent="0.3">
      <c r="A2" s="1" t="s">
        <v>5</v>
      </c>
      <c r="B2" s="1">
        <v>52.9</v>
      </c>
      <c r="C2" s="1">
        <v>133</v>
      </c>
      <c r="D2" s="1">
        <v>96.5</v>
      </c>
      <c r="E2" s="1">
        <v>90.2</v>
      </c>
      <c r="N2" s="1">
        <f>SUM(B2:M2)</f>
        <v>372.59999999999997</v>
      </c>
      <c r="O2" s="1">
        <f>AVERAGE(B2:M2)</f>
        <v>93.149999999999991</v>
      </c>
      <c r="P2" s="1">
        <f>MEDIAN(B2:M2)</f>
        <v>93.35</v>
      </c>
      <c r="Q2" s="1">
        <f>COUNT(B2:M2)</f>
        <v>4</v>
      </c>
      <c r="S2" s="1">
        <f>AVERAGE(C2:E2)</f>
        <v>106.56666666666666</v>
      </c>
      <c r="T2" s="3">
        <f>AVERAGE(LARGE(B2:M2,{1,2,3}))</f>
        <v>106.56666666666666</v>
      </c>
      <c r="U2" s="3">
        <f>AVERAGE(SMALL(B2:M2,{1,2,3}))</f>
        <v>79.86666666666666</v>
      </c>
      <c r="V2" s="1">
        <f>_xlfn.STDEV.S(B2:M2)</f>
        <v>32.802489742904179</v>
      </c>
      <c r="W2" s="1">
        <f>_xlfn.STDEV.S(Intermediate!B1:LO1)</f>
        <v>8.8253278290566985</v>
      </c>
      <c r="X2" s="1">
        <f>AVERAGE(Intermediate!B1:LP1)</f>
        <v>11.643749999999999</v>
      </c>
      <c r="Y2" s="1">
        <f>MEDIAN(Intermediate!B1:LQ1)</f>
        <v>8.9499999999999993</v>
      </c>
      <c r="Z2" s="1">
        <f>MAX(B2:M2)</f>
        <v>133</v>
      </c>
      <c r="AA2" s="1">
        <f>MIN(B2:M2)</f>
        <v>52.9</v>
      </c>
      <c r="AB2" s="1">
        <f>MAX(Intermediate!B1:LO1)</f>
        <v>35.700000000000003</v>
      </c>
      <c r="AC2" s="1">
        <f>MIN(Intermediate!B1:LP1)</f>
        <v>0.3</v>
      </c>
      <c r="AD2" s="1">
        <f>S2*0.4+O2*0.35-((V2/2)+W2*2)+Y2*4+U2*0.4</f>
        <v>108.92393280376783</v>
      </c>
      <c r="AE2" s="1">
        <f>_xlfn.RANK.EQ(AD2,$AD$2:$AD$15)</f>
        <v>8</v>
      </c>
      <c r="AF2" s="1">
        <f>(AD2-AVERAGE($AD$2:$AD$15))/_xlfn.STDEV.S($AD$2:$AD$15)</f>
        <v>-3.4415960428622799E-2</v>
      </c>
      <c r="AG2" s="1">
        <f>NORMSDIST(AF2)</f>
        <v>0.48627272821478662</v>
      </c>
      <c r="AI2" s="2" t="s">
        <v>11</v>
      </c>
      <c r="AJ2" s="4">
        <v>131.25062769450548</v>
      </c>
    </row>
    <row r="3" spans="1:36" ht="15.6" x14ac:dyDescent="0.3">
      <c r="A3" s="1" t="s">
        <v>7</v>
      </c>
      <c r="B3" s="1">
        <v>93.8</v>
      </c>
      <c r="C3" s="1">
        <v>70.599999999999994</v>
      </c>
      <c r="D3" s="1">
        <v>84.8</v>
      </c>
      <c r="E3" s="1">
        <v>58.8</v>
      </c>
      <c r="N3" s="1">
        <f t="shared" ref="N3:N15" si="0">SUM(B3:M3)</f>
        <v>308</v>
      </c>
      <c r="O3" s="1">
        <f t="shared" ref="O3:O15" si="1">AVERAGE(B3:M3)</f>
        <v>77</v>
      </c>
      <c r="P3" s="1">
        <f t="shared" ref="P3:P15" si="2">MEDIAN(B3:M3)</f>
        <v>77.699999999999989</v>
      </c>
      <c r="Q3" s="1">
        <f t="shared" ref="Q3:Q15" si="3">COUNT(B3:M3)</f>
        <v>4</v>
      </c>
      <c r="S3" s="1">
        <f t="shared" ref="S3:S15" si="4">AVERAGE(C3:E3)</f>
        <v>71.399999999999991</v>
      </c>
      <c r="T3" s="3">
        <f>AVERAGE(LARGE(B3:M3,{1,2,3}))</f>
        <v>83.066666666666663</v>
      </c>
      <c r="U3" s="3">
        <f>AVERAGE(SMALL(B3:M3,{1,2,3}))</f>
        <v>71.399999999999991</v>
      </c>
      <c r="V3" s="1">
        <f t="shared" ref="V3:V15" si="5">_xlfn.STDEV.S(B3:M3)</f>
        <v>15.441070774614857</v>
      </c>
      <c r="W3" s="1">
        <f>_xlfn.STDEV.S(Intermediate!B2:LO2)</f>
        <v>6.306934227882727</v>
      </c>
      <c r="X3" s="1">
        <f>AVERAGE(Intermediate!B2:LP2)</f>
        <v>9.625</v>
      </c>
      <c r="Y3" s="1">
        <f>MEDIAN(Intermediate!B2:LQ2)</f>
        <v>8.6999999999999993</v>
      </c>
      <c r="Z3" s="1">
        <f t="shared" ref="Z3:Z15" si="6">MAX(B3:M3)</f>
        <v>93.8</v>
      </c>
      <c r="AA3" s="1">
        <f t="shared" ref="AA3:AA15" si="7">MIN(B3:M3)</f>
        <v>58.8</v>
      </c>
      <c r="AB3" s="1">
        <f>MAX(Intermediate!B2:LO2)</f>
        <v>23.7</v>
      </c>
      <c r="AC3" s="1">
        <f>MIN(Intermediate!B2:LP2)</f>
        <v>-3.1</v>
      </c>
      <c r="AD3" s="1">
        <f t="shared" ref="AD3:AD15" si="8">S3*0.4+O3*0.35-((V3/2)+W3*2)+Y3*4+U3*0.4</f>
        <v>98.535596156927113</v>
      </c>
      <c r="AE3" s="1">
        <f t="shared" ref="AE3:AE15" si="9">_xlfn.RANK.EQ(AD3,$AD$2:$AD$15)</f>
        <v>12</v>
      </c>
      <c r="AF3" s="1">
        <f t="shared" ref="AF3:AF15" si="10">(AD3-AVERAGE($AD$2:$AD$15))/_xlfn.STDEV.S($AD$2:$AD$15)</f>
        <v>-0.63934846370999321</v>
      </c>
      <c r="AG3" s="1">
        <f t="shared" ref="AG3:AG15" si="11">NORMSDIST(AF3)</f>
        <v>0.26129813370198329</v>
      </c>
      <c r="AI3" s="2" t="s">
        <v>17</v>
      </c>
      <c r="AJ3" s="4">
        <v>129.35399960774623</v>
      </c>
    </row>
    <row r="4" spans="1:36" ht="15.6" x14ac:dyDescent="0.3">
      <c r="A4" s="1" t="s">
        <v>9</v>
      </c>
      <c r="B4" s="1">
        <v>71.599999999999994</v>
      </c>
      <c r="C4" s="1">
        <v>116.6</v>
      </c>
      <c r="D4" s="1">
        <v>75</v>
      </c>
      <c r="E4" s="1">
        <v>83.1</v>
      </c>
      <c r="N4" s="1">
        <f t="shared" si="0"/>
        <v>346.29999999999995</v>
      </c>
      <c r="O4" s="1">
        <f t="shared" si="1"/>
        <v>86.574999999999989</v>
      </c>
      <c r="P4" s="1">
        <f t="shared" si="2"/>
        <v>79.05</v>
      </c>
      <c r="Q4" s="1">
        <f t="shared" si="3"/>
        <v>4</v>
      </c>
      <c r="S4" s="1">
        <f t="shared" si="4"/>
        <v>91.566666666666663</v>
      </c>
      <c r="T4" s="3">
        <f>AVERAGE(LARGE(B4:M4,{1,2,3}))</f>
        <v>91.566666666666663</v>
      </c>
      <c r="U4" s="3">
        <f>AVERAGE(SMALL(B4:M4,{1,2,3}))</f>
        <v>76.566666666666663</v>
      </c>
      <c r="V4" s="1">
        <f t="shared" si="5"/>
        <v>20.589702118615854</v>
      </c>
      <c r="W4" s="1">
        <f>_xlfn.STDEV.S(Intermediate!B3:LO3)</f>
        <v>5.9130655973077602</v>
      </c>
      <c r="X4" s="1">
        <f>AVERAGE(Intermediate!B3:LP3)</f>
        <v>10.821874999999999</v>
      </c>
      <c r="Y4" s="1">
        <f>MEDIAN(Intermediate!B3:LQ3)</f>
        <v>10.75</v>
      </c>
      <c r="Z4" s="1">
        <f t="shared" si="6"/>
        <v>116.6</v>
      </c>
      <c r="AA4" s="1">
        <f t="shared" si="7"/>
        <v>71.599999999999994</v>
      </c>
      <c r="AB4" s="1">
        <f>MAX(Intermediate!B3:LO3)</f>
        <v>22.9</v>
      </c>
      <c r="AC4" s="1">
        <f>MIN(Intermediate!B3:LP3)</f>
        <v>0.9</v>
      </c>
      <c r="AD4" s="1">
        <f t="shared" si="8"/>
        <v>118.43360107940988</v>
      </c>
      <c r="AE4" s="1">
        <f t="shared" si="9"/>
        <v>5</v>
      </c>
      <c r="AF4" s="1">
        <f t="shared" si="10"/>
        <v>0.51935002068338587</v>
      </c>
      <c r="AG4" s="1">
        <f t="shared" si="11"/>
        <v>0.6982416612599196</v>
      </c>
      <c r="AI4" s="2" t="s">
        <v>8</v>
      </c>
      <c r="AJ4" s="4">
        <v>125.93809304786713</v>
      </c>
    </row>
    <row r="5" spans="1:36" ht="15.6" x14ac:dyDescent="0.3">
      <c r="A5" s="1" t="s">
        <v>11</v>
      </c>
      <c r="B5" s="1">
        <v>78</v>
      </c>
      <c r="C5" s="1">
        <v>101.6</v>
      </c>
      <c r="D5" s="1">
        <v>110.4</v>
      </c>
      <c r="E5" s="1">
        <v>115.3</v>
      </c>
      <c r="N5" s="1">
        <f t="shared" si="0"/>
        <v>405.3</v>
      </c>
      <c r="O5" s="1">
        <f t="shared" si="1"/>
        <v>101.325</v>
      </c>
      <c r="P5" s="1">
        <f t="shared" si="2"/>
        <v>106</v>
      </c>
      <c r="Q5" s="1">
        <f t="shared" si="3"/>
        <v>4</v>
      </c>
      <c r="S5" s="1">
        <f t="shared" si="4"/>
        <v>109.10000000000001</v>
      </c>
      <c r="T5" s="3">
        <f>AVERAGE(LARGE(B5:M5,{1,2,3}))</f>
        <v>109.09999999999998</v>
      </c>
      <c r="U5" s="3">
        <f>AVERAGE(SMALL(B5:M5,{1,2,3}))</f>
        <v>96.666666666666671</v>
      </c>
      <c r="V5" s="1">
        <f t="shared" si="5"/>
        <v>16.550805619868363</v>
      </c>
      <c r="W5" s="1">
        <f>_xlfn.STDEV.S(Intermediate!B4:LO4)</f>
        <v>9.7221930811135095</v>
      </c>
      <c r="X5" s="1">
        <f>AVERAGE(Intermediate!B4:LP4)</f>
        <v>12.665625000000006</v>
      </c>
      <c r="Y5" s="1">
        <f>MEDIAN(Intermediate!B4:LQ4)</f>
        <v>10.3</v>
      </c>
      <c r="Z5" s="1">
        <f t="shared" si="6"/>
        <v>115.3</v>
      </c>
      <c r="AA5" s="1">
        <f t="shared" si="7"/>
        <v>78</v>
      </c>
      <c r="AB5" s="1">
        <f>MAX(Intermediate!B4:LO4)</f>
        <v>35.4</v>
      </c>
      <c r="AC5" s="1">
        <f>MIN(Intermediate!B4:LP4)</f>
        <v>-0.7</v>
      </c>
      <c r="AD5" s="1">
        <f t="shared" si="8"/>
        <v>131.25062769450548</v>
      </c>
      <c r="AE5" s="1">
        <f t="shared" si="9"/>
        <v>1</v>
      </c>
      <c r="AF5" s="1">
        <f t="shared" si="10"/>
        <v>1.2657097372075605</v>
      </c>
      <c r="AG5" s="1">
        <f t="shared" si="11"/>
        <v>0.89719148953500261</v>
      </c>
      <c r="AI5" s="2" t="s">
        <v>16</v>
      </c>
      <c r="AJ5" s="4">
        <v>118.74079699667453</v>
      </c>
    </row>
    <row r="6" spans="1:36" ht="15.6" x14ac:dyDescent="0.3">
      <c r="A6" s="1" t="s">
        <v>13</v>
      </c>
      <c r="B6" s="1">
        <v>65.400000000000006</v>
      </c>
      <c r="C6" s="1">
        <v>77.7</v>
      </c>
      <c r="D6" s="1">
        <v>94.7</v>
      </c>
      <c r="E6" s="1">
        <v>82.5</v>
      </c>
      <c r="N6" s="1">
        <f t="shared" si="0"/>
        <v>320.3</v>
      </c>
      <c r="O6" s="1">
        <f t="shared" si="1"/>
        <v>80.075000000000003</v>
      </c>
      <c r="P6" s="1">
        <f t="shared" si="2"/>
        <v>80.099999999999994</v>
      </c>
      <c r="Q6" s="1">
        <f t="shared" si="3"/>
        <v>4</v>
      </c>
      <c r="S6" s="1">
        <f t="shared" si="4"/>
        <v>84.966666666666669</v>
      </c>
      <c r="T6" s="3">
        <f>AVERAGE(LARGE(B6:M6,{1,2,3}))</f>
        <v>84.966666666666654</v>
      </c>
      <c r="U6" s="3">
        <f>AVERAGE(SMALL(B6:M6,{1,2,3}))</f>
        <v>75.2</v>
      </c>
      <c r="V6" s="1">
        <f t="shared" si="5"/>
        <v>12.121159185490443</v>
      </c>
      <c r="W6" s="1">
        <f>_xlfn.STDEV.S(Intermediate!B5:LO5)</f>
        <v>7.2620304800756905</v>
      </c>
      <c r="X6" s="1">
        <f>AVERAGE(Intermediate!B5:LP5)</f>
        <v>10.003125000000001</v>
      </c>
      <c r="Y6" s="1">
        <f>MEDIAN(Intermediate!B5:LQ5)</f>
        <v>8.5500000000000007</v>
      </c>
      <c r="Z6" s="1">
        <f t="shared" si="6"/>
        <v>94.7</v>
      </c>
      <c r="AA6" s="1">
        <f t="shared" si="7"/>
        <v>65.400000000000006</v>
      </c>
      <c r="AB6" s="1">
        <f>MAX(Intermediate!B5:LO5)</f>
        <v>28.3</v>
      </c>
      <c r="AC6" s="1">
        <f>MIN(Intermediate!B5:LP5)</f>
        <v>-3</v>
      </c>
      <c r="AD6" s="1">
        <f t="shared" si="8"/>
        <v>105.70827611377007</v>
      </c>
      <c r="AE6" s="1">
        <f t="shared" si="9"/>
        <v>10</v>
      </c>
      <c r="AF6" s="1">
        <f t="shared" si="10"/>
        <v>-0.2216697352439988</v>
      </c>
      <c r="AG6" s="1">
        <f t="shared" si="11"/>
        <v>0.4122854958819594</v>
      </c>
      <c r="AI6" s="2" t="s">
        <v>9</v>
      </c>
      <c r="AJ6" s="4">
        <v>118.43360107940988</v>
      </c>
    </row>
    <row r="7" spans="1:36" ht="15.6" x14ac:dyDescent="0.3">
      <c r="A7" s="1" t="s">
        <v>15</v>
      </c>
      <c r="B7" s="1">
        <v>72.5</v>
      </c>
      <c r="C7" s="1">
        <v>69.2</v>
      </c>
      <c r="D7" s="1">
        <v>115.6</v>
      </c>
      <c r="E7" s="1">
        <v>95.8</v>
      </c>
      <c r="N7" s="1">
        <f t="shared" si="0"/>
        <v>353.09999999999997</v>
      </c>
      <c r="O7" s="1">
        <f t="shared" si="1"/>
        <v>88.274999999999991</v>
      </c>
      <c r="P7" s="1">
        <f t="shared" si="2"/>
        <v>84.15</v>
      </c>
      <c r="Q7" s="1">
        <f t="shared" si="3"/>
        <v>4</v>
      </c>
      <c r="S7" s="1">
        <f t="shared" si="4"/>
        <v>93.533333333333346</v>
      </c>
      <c r="T7" s="3">
        <f>AVERAGE(LARGE(B7:M7,{1,2,3}))</f>
        <v>94.633333333333326</v>
      </c>
      <c r="U7" s="3">
        <f>AVERAGE(SMALL(B7:M7,{1,2,3}))</f>
        <v>79.166666666666671</v>
      </c>
      <c r="V7" s="1">
        <f t="shared" si="5"/>
        <v>21.725465088999488</v>
      </c>
      <c r="W7" s="1">
        <f>_xlfn.STDEV.S(Intermediate!B6:LO6)</f>
        <v>8.0431397335986645</v>
      </c>
      <c r="X7" s="1">
        <f>AVERAGE(Intermediate!B6:LP6)</f>
        <v>11.037499999999998</v>
      </c>
      <c r="Y7" s="1">
        <f>MEDIAN(Intermediate!B6:LQ6)</f>
        <v>9.15</v>
      </c>
      <c r="Z7" s="1">
        <f t="shared" si="6"/>
        <v>115.6</v>
      </c>
      <c r="AA7" s="1">
        <f t="shared" si="7"/>
        <v>69.2</v>
      </c>
      <c r="AB7" s="1">
        <f>MAX(Intermediate!B6:LO6)</f>
        <v>25.6</v>
      </c>
      <c r="AC7" s="1">
        <f>MIN(Intermediate!B6:LP6)</f>
        <v>0</v>
      </c>
      <c r="AD7" s="1">
        <f t="shared" si="8"/>
        <v>109.62723798830294</v>
      </c>
      <c r="AE7" s="1">
        <f t="shared" si="9"/>
        <v>7</v>
      </c>
      <c r="AF7" s="1">
        <f t="shared" si="10"/>
        <v>6.5388314995901567E-3</v>
      </c>
      <c r="AG7" s="1">
        <f t="shared" si="11"/>
        <v>0.5026085977605883</v>
      </c>
      <c r="AI7" s="2" t="s">
        <v>12</v>
      </c>
      <c r="AJ7" s="4">
        <v>116.91806840973351</v>
      </c>
    </row>
    <row r="8" spans="1:36" ht="15.6" x14ac:dyDescent="0.3">
      <c r="A8" s="1" t="s">
        <v>17</v>
      </c>
      <c r="B8" s="1">
        <v>107</v>
      </c>
      <c r="C8" s="1">
        <v>71.2</v>
      </c>
      <c r="D8" s="1">
        <v>100.4</v>
      </c>
      <c r="E8" s="1">
        <v>99.2</v>
      </c>
      <c r="N8" s="1">
        <f t="shared" si="0"/>
        <v>377.8</v>
      </c>
      <c r="O8" s="1">
        <f t="shared" si="1"/>
        <v>94.45</v>
      </c>
      <c r="P8" s="1">
        <f t="shared" si="2"/>
        <v>99.800000000000011</v>
      </c>
      <c r="Q8" s="1">
        <f t="shared" si="3"/>
        <v>4</v>
      </c>
      <c r="S8" s="1">
        <f t="shared" si="4"/>
        <v>90.266666666666666</v>
      </c>
      <c r="T8" s="3">
        <f>AVERAGE(LARGE(B8:M8,{1,2,3}))</f>
        <v>102.2</v>
      </c>
      <c r="U8" s="3">
        <f>AVERAGE(SMALL(B8:M8,{1,2,3}))</f>
        <v>90.266666666666666</v>
      </c>
      <c r="V8" s="1">
        <f t="shared" si="5"/>
        <v>15.874822833657138</v>
      </c>
      <c r="W8" s="1">
        <f>_xlfn.STDEV.S(Intermediate!B7:LO7)</f>
        <v>8.789711154379269</v>
      </c>
      <c r="X8" s="1">
        <f>AVERAGE(Intermediate!B7:LP7)</f>
        <v>11.803124999999998</v>
      </c>
      <c r="Y8" s="1">
        <f>MEDIAN(Intermediate!B7:LQ7)</f>
        <v>12.4</v>
      </c>
      <c r="Z8" s="1">
        <f t="shared" si="6"/>
        <v>107</v>
      </c>
      <c r="AA8" s="1">
        <f t="shared" si="7"/>
        <v>71.2</v>
      </c>
      <c r="AB8" s="1">
        <f>MAX(Intermediate!B7:LO7)</f>
        <v>33.299999999999997</v>
      </c>
      <c r="AC8" s="1">
        <f>MIN(Intermediate!B7:LP7)</f>
        <v>-5.2</v>
      </c>
      <c r="AD8" s="1">
        <f t="shared" si="8"/>
        <v>129.35399960774623</v>
      </c>
      <c r="AE8" s="1">
        <f t="shared" si="9"/>
        <v>2</v>
      </c>
      <c r="AF8" s="1">
        <f t="shared" si="10"/>
        <v>1.155265494272292</v>
      </c>
      <c r="AG8" s="1">
        <f t="shared" si="11"/>
        <v>0.87600913917374379</v>
      </c>
      <c r="AI8" s="2" t="s">
        <v>15</v>
      </c>
      <c r="AJ8" s="4">
        <v>109.62723798830294</v>
      </c>
    </row>
    <row r="9" spans="1:36" ht="15.6" x14ac:dyDescent="0.3">
      <c r="A9" s="1" t="s">
        <v>6</v>
      </c>
      <c r="B9" s="1">
        <v>56.8</v>
      </c>
      <c r="C9" s="1">
        <v>126.3</v>
      </c>
      <c r="D9" s="1">
        <v>67.599999999999994</v>
      </c>
      <c r="E9" s="1">
        <v>93.1</v>
      </c>
      <c r="N9" s="1">
        <f t="shared" si="0"/>
        <v>343.79999999999995</v>
      </c>
      <c r="O9" s="1">
        <f t="shared" si="1"/>
        <v>85.949999999999989</v>
      </c>
      <c r="P9" s="1">
        <f t="shared" si="2"/>
        <v>80.349999999999994</v>
      </c>
      <c r="Q9" s="1">
        <f t="shared" si="3"/>
        <v>4</v>
      </c>
      <c r="S9" s="1">
        <f t="shared" si="4"/>
        <v>95.666666666666671</v>
      </c>
      <c r="T9" s="3">
        <f>AVERAGE(LARGE(B9:M9,{1,2,3}))</f>
        <v>95.666666666666671</v>
      </c>
      <c r="U9" s="3">
        <f>AVERAGE(SMALL(B9:M9,{1,2,3}))</f>
        <v>72.5</v>
      </c>
      <c r="V9" s="1">
        <f t="shared" si="5"/>
        <v>30.906795369303509</v>
      </c>
      <c r="W9" s="1">
        <f>_xlfn.STDEV.S(Intermediate!B8:LO8)</f>
        <v>9.1905626341513003</v>
      </c>
      <c r="X9" s="1">
        <f>AVERAGE(Intermediate!B8:LP8)</f>
        <v>10.746874999999999</v>
      </c>
      <c r="Y9" s="1">
        <f>MEDIAN(Intermediate!B8:LQ8)</f>
        <v>10.5</v>
      </c>
      <c r="Z9" s="1">
        <f t="shared" si="6"/>
        <v>126.3</v>
      </c>
      <c r="AA9" s="1">
        <f t="shared" si="7"/>
        <v>56.8</v>
      </c>
      <c r="AB9" s="1">
        <f>MAX(Intermediate!B8:LO8)</f>
        <v>32.6</v>
      </c>
      <c r="AC9" s="1">
        <f>MIN(Intermediate!B8:LP8)</f>
        <v>-5.3</v>
      </c>
      <c r="AD9" s="1">
        <f t="shared" si="8"/>
        <v>105.5146437137123</v>
      </c>
      <c r="AE9" s="1">
        <f t="shared" si="9"/>
        <v>11</v>
      </c>
      <c r="AF9" s="1">
        <f t="shared" si="10"/>
        <v>-0.23294531635629812</v>
      </c>
      <c r="AG9" s="1">
        <f t="shared" si="11"/>
        <v>0.40790193442777145</v>
      </c>
      <c r="AI9" s="2" t="s">
        <v>5</v>
      </c>
      <c r="AJ9" s="4">
        <v>108.92393280376783</v>
      </c>
    </row>
    <row r="10" spans="1:36" ht="15.6" x14ac:dyDescent="0.3">
      <c r="A10" s="1" t="s">
        <v>8</v>
      </c>
      <c r="B10" s="1">
        <v>149.19999999999999</v>
      </c>
      <c r="C10" s="1">
        <v>83.9</v>
      </c>
      <c r="D10" s="1">
        <v>94.2</v>
      </c>
      <c r="E10" s="1">
        <v>96.9</v>
      </c>
      <c r="N10" s="1">
        <f t="shared" si="0"/>
        <v>424.20000000000005</v>
      </c>
      <c r="O10" s="1">
        <f t="shared" si="1"/>
        <v>106.05000000000001</v>
      </c>
      <c r="P10" s="1">
        <f t="shared" si="2"/>
        <v>95.550000000000011</v>
      </c>
      <c r="Q10" s="1">
        <f t="shared" si="3"/>
        <v>4</v>
      </c>
      <c r="S10" s="1">
        <f t="shared" si="4"/>
        <v>91.666666666666671</v>
      </c>
      <c r="T10" s="3">
        <f>AVERAGE(LARGE(B10:M10,{1,2,3}))</f>
        <v>113.43333333333334</v>
      </c>
      <c r="U10" s="3">
        <f>AVERAGE(SMALL(B10:M10,{1,2,3}))</f>
        <v>91.666666666666671</v>
      </c>
      <c r="V10" s="1">
        <f t="shared" si="5"/>
        <v>29.306938882569476</v>
      </c>
      <c r="W10" s="1">
        <f>_xlfn.STDEV.S(Intermediate!B9:LO9)</f>
        <v>9.4296354220907368</v>
      </c>
      <c r="X10" s="1">
        <f>AVERAGE(Intermediate!B9:LP9)</f>
        <v>13.256250000000003</v>
      </c>
      <c r="Y10" s="1">
        <f>MEDIAN(Intermediate!B9:LQ9)</f>
        <v>12.25</v>
      </c>
      <c r="Z10" s="1">
        <f t="shared" si="6"/>
        <v>149.19999999999999</v>
      </c>
      <c r="AA10" s="1">
        <f t="shared" si="7"/>
        <v>83.9</v>
      </c>
      <c r="AB10" s="1">
        <f>MAX(Intermediate!B9:LO9)</f>
        <v>43.1</v>
      </c>
      <c r="AC10" s="1">
        <f>MIN(Intermediate!B9:LP9)</f>
        <v>-0.7</v>
      </c>
      <c r="AD10" s="1">
        <f t="shared" si="8"/>
        <v>125.93809304786713</v>
      </c>
      <c r="AE10" s="1">
        <f t="shared" si="9"/>
        <v>3</v>
      </c>
      <c r="AF10" s="1">
        <f t="shared" si="10"/>
        <v>0.95635079055296757</v>
      </c>
      <c r="AG10" s="1">
        <f t="shared" si="11"/>
        <v>0.83055248127160797</v>
      </c>
      <c r="AI10" s="2" t="s">
        <v>10</v>
      </c>
      <c r="AJ10" s="4">
        <v>108.01785584204484</v>
      </c>
    </row>
    <row r="11" spans="1:36" ht="15.6" x14ac:dyDescent="0.3">
      <c r="A11" s="1" t="s">
        <v>10</v>
      </c>
      <c r="B11" s="1">
        <v>73.900000000000006</v>
      </c>
      <c r="C11" s="1">
        <v>80.8</v>
      </c>
      <c r="D11" s="1">
        <v>93.7</v>
      </c>
      <c r="E11" s="1">
        <v>79.7</v>
      </c>
      <c r="N11" s="1">
        <f t="shared" si="0"/>
        <v>328.09999999999997</v>
      </c>
      <c r="O11" s="1">
        <f t="shared" si="1"/>
        <v>82.024999999999991</v>
      </c>
      <c r="P11" s="1">
        <f t="shared" si="2"/>
        <v>80.25</v>
      </c>
      <c r="Q11" s="1">
        <f t="shared" si="3"/>
        <v>4</v>
      </c>
      <c r="S11" s="1">
        <f t="shared" si="4"/>
        <v>84.733333333333334</v>
      </c>
      <c r="T11" s="3">
        <f>AVERAGE(LARGE(B11:M11,{1,2,3}))</f>
        <v>84.733333333333334</v>
      </c>
      <c r="U11" s="3">
        <f>AVERAGE(SMALL(B11:M11,{1,2,3}))</f>
        <v>78.13333333333334</v>
      </c>
      <c r="V11" s="1">
        <f t="shared" si="5"/>
        <v>8.3511975189190686</v>
      </c>
      <c r="W11" s="1">
        <f>_xlfn.STDEV.S(Intermediate!B10:LO10)</f>
        <v>7.2309810325811466</v>
      </c>
      <c r="X11" s="1">
        <f>AVERAGE(Intermediate!B10:LP10)</f>
        <v>10.246875000000003</v>
      </c>
      <c r="Y11" s="1">
        <f>MEDIAN(Intermediate!B10:LQ10)</f>
        <v>8.1999999999999993</v>
      </c>
      <c r="Z11" s="1">
        <f t="shared" si="6"/>
        <v>93.7</v>
      </c>
      <c r="AA11" s="1">
        <f t="shared" si="7"/>
        <v>73.900000000000006</v>
      </c>
      <c r="AB11" s="1">
        <f>MAX(Intermediate!B10:LO10)</f>
        <v>23</v>
      </c>
      <c r="AC11" s="1">
        <f>MIN(Intermediate!B10:LP10)</f>
        <v>-1.7</v>
      </c>
      <c r="AD11" s="1">
        <f t="shared" si="8"/>
        <v>108.01785584204484</v>
      </c>
      <c r="AE11" s="1">
        <f t="shared" si="9"/>
        <v>9</v>
      </c>
      <c r="AF11" s="1">
        <f t="shared" si="10"/>
        <v>-8.7178536696052258E-2</v>
      </c>
      <c r="AG11" s="1">
        <f t="shared" si="11"/>
        <v>0.46526479981383395</v>
      </c>
      <c r="AI11" s="2" t="s">
        <v>13</v>
      </c>
      <c r="AJ11" s="4">
        <v>105.70827611377007</v>
      </c>
    </row>
    <row r="12" spans="1:36" ht="15.6" x14ac:dyDescent="0.3">
      <c r="A12" s="1" t="s">
        <v>12</v>
      </c>
      <c r="B12" s="1">
        <v>78.3</v>
      </c>
      <c r="C12" s="1">
        <v>89</v>
      </c>
      <c r="D12" s="1">
        <v>81.5</v>
      </c>
      <c r="E12" s="1">
        <v>85.3</v>
      </c>
      <c r="N12" s="1">
        <f t="shared" si="0"/>
        <v>334.1</v>
      </c>
      <c r="O12" s="1">
        <f t="shared" si="1"/>
        <v>83.525000000000006</v>
      </c>
      <c r="P12" s="1">
        <f t="shared" si="2"/>
        <v>83.4</v>
      </c>
      <c r="Q12" s="1">
        <f t="shared" si="3"/>
        <v>4</v>
      </c>
      <c r="S12" s="1">
        <f t="shared" si="4"/>
        <v>85.266666666666666</v>
      </c>
      <c r="T12" s="3">
        <f>AVERAGE(LARGE(B12:M12,{1,2,3}))</f>
        <v>85.266666666666666</v>
      </c>
      <c r="U12" s="3">
        <f>AVERAGE(SMALL(B12:M12,{1,2,3}))</f>
        <v>81.7</v>
      </c>
      <c r="V12" s="1">
        <f t="shared" si="5"/>
        <v>4.6377976094981408</v>
      </c>
      <c r="W12" s="1">
        <f>_xlfn.STDEV.S(Intermediate!B11:LO11)</f>
        <v>6.4917247260920492</v>
      </c>
      <c r="X12" s="1">
        <f>AVERAGE(Intermediate!B11:LP11)</f>
        <v>10.440624999999999</v>
      </c>
      <c r="Y12" s="1">
        <f>MEDIAN(Intermediate!B11:LQ11)</f>
        <v>9.0500000000000007</v>
      </c>
      <c r="Z12" s="1">
        <f t="shared" si="6"/>
        <v>89</v>
      </c>
      <c r="AA12" s="1">
        <f t="shared" si="7"/>
        <v>78.3</v>
      </c>
      <c r="AB12" s="1">
        <f>MAX(Intermediate!B11:LO11)</f>
        <v>25.5</v>
      </c>
      <c r="AC12" s="1">
        <f>MIN(Intermediate!B11:LP11)</f>
        <v>1.9</v>
      </c>
      <c r="AD12" s="1">
        <f t="shared" si="8"/>
        <v>116.91806840973351</v>
      </c>
      <c r="AE12" s="1">
        <f t="shared" si="9"/>
        <v>6</v>
      </c>
      <c r="AF12" s="1">
        <f t="shared" si="10"/>
        <v>0.43109768512292423</v>
      </c>
      <c r="AG12" s="1">
        <f t="shared" si="11"/>
        <v>0.66680132812508464</v>
      </c>
      <c r="AI12" s="2" t="s">
        <v>6</v>
      </c>
      <c r="AJ12" s="4">
        <v>105.5146437137123</v>
      </c>
    </row>
    <row r="13" spans="1:36" ht="15.6" x14ac:dyDescent="0.3">
      <c r="A13" s="1" t="s">
        <v>14</v>
      </c>
      <c r="B13" s="1">
        <v>55.9</v>
      </c>
      <c r="C13" s="1">
        <v>69.3</v>
      </c>
      <c r="D13" s="1">
        <v>81.099999999999994</v>
      </c>
      <c r="E13" s="1">
        <v>68.599999999999994</v>
      </c>
      <c r="N13" s="1">
        <f t="shared" si="0"/>
        <v>274.89999999999998</v>
      </c>
      <c r="O13" s="1">
        <f t="shared" si="1"/>
        <v>68.724999999999994</v>
      </c>
      <c r="P13" s="1">
        <f t="shared" si="2"/>
        <v>68.949999999999989</v>
      </c>
      <c r="Q13" s="1">
        <f t="shared" si="3"/>
        <v>4</v>
      </c>
      <c r="S13" s="1">
        <f t="shared" si="4"/>
        <v>72.999999999999986</v>
      </c>
      <c r="T13" s="3">
        <f>AVERAGE(LARGE(B13:M13,{1,2,3}))</f>
        <v>72.999999999999986</v>
      </c>
      <c r="U13" s="3">
        <f>AVERAGE(SMALL(B13:M13,{1,2,3}))</f>
        <v>64.600000000000009</v>
      </c>
      <c r="V13" s="1">
        <f t="shared" si="5"/>
        <v>10.295104014368494</v>
      </c>
      <c r="W13" s="1">
        <f>_xlfn.STDEV.S(Intermediate!B12:LO12)</f>
        <v>7.2593849157376065</v>
      </c>
      <c r="X13" s="1">
        <f>AVERAGE(Intermediate!B12:LP12)</f>
        <v>8.59375</v>
      </c>
      <c r="Y13" s="1">
        <f>MEDIAN(Intermediate!B12:LQ12)</f>
        <v>8</v>
      </c>
      <c r="Z13" s="1">
        <f t="shared" si="6"/>
        <v>81.099999999999994</v>
      </c>
      <c r="AA13" s="1">
        <f t="shared" si="7"/>
        <v>55.9</v>
      </c>
      <c r="AB13" s="1">
        <f>MAX(Intermediate!B12:LO12)</f>
        <v>27.4</v>
      </c>
      <c r="AC13" s="1">
        <f>MIN(Intermediate!B12:LP12)</f>
        <v>0</v>
      </c>
      <c r="AD13" s="1">
        <f t="shared" si="8"/>
        <v>91.427428161340544</v>
      </c>
      <c r="AE13" s="1">
        <f t="shared" si="9"/>
        <v>13</v>
      </c>
      <c r="AF13" s="1">
        <f t="shared" si="10"/>
        <v>-1.0532705385806034</v>
      </c>
      <c r="AG13" s="1">
        <f t="shared" si="11"/>
        <v>0.14610850875740733</v>
      </c>
      <c r="AI13" s="2" t="s">
        <v>7</v>
      </c>
      <c r="AJ13" s="4">
        <v>98.535596156927113</v>
      </c>
    </row>
    <row r="14" spans="1:36" ht="15.6" x14ac:dyDescent="0.3">
      <c r="A14" s="1" t="s">
        <v>16</v>
      </c>
      <c r="B14" s="1">
        <v>99.9</v>
      </c>
      <c r="C14" s="1">
        <v>66.7</v>
      </c>
      <c r="D14" s="1">
        <v>90.7</v>
      </c>
      <c r="E14" s="1">
        <v>99.7</v>
      </c>
      <c r="N14" s="1">
        <f t="shared" si="0"/>
        <v>357</v>
      </c>
      <c r="O14" s="1">
        <f t="shared" si="1"/>
        <v>89.25</v>
      </c>
      <c r="P14" s="1">
        <f t="shared" si="2"/>
        <v>95.2</v>
      </c>
      <c r="Q14" s="1">
        <f t="shared" si="3"/>
        <v>4</v>
      </c>
      <c r="S14" s="1">
        <f t="shared" si="4"/>
        <v>85.7</v>
      </c>
      <c r="T14" s="3">
        <f>AVERAGE(LARGE(B14:M14,{1,2,3}))</f>
        <v>96.766666666666666</v>
      </c>
      <c r="U14" s="3">
        <f>AVERAGE(SMALL(B14:M14,{1,2,3}))</f>
        <v>85.7</v>
      </c>
      <c r="V14" s="1">
        <f t="shared" si="5"/>
        <v>15.633617623570043</v>
      </c>
      <c r="W14" s="1">
        <f>_xlfn.STDEV.S(Intermediate!B13:LO13)</f>
        <v>7.8199470957702193</v>
      </c>
      <c r="X14" s="1">
        <f>AVERAGE(Intermediate!B13:LP13)</f>
        <v>11.156250000000004</v>
      </c>
      <c r="Y14" s="1">
        <f>MEDIAN(Intermediate!B13:LQ13)</f>
        <v>10.6</v>
      </c>
      <c r="Z14" s="1">
        <f t="shared" si="6"/>
        <v>99.9</v>
      </c>
      <c r="AA14" s="1">
        <f t="shared" si="7"/>
        <v>66.7</v>
      </c>
      <c r="AB14" s="1">
        <f>MAX(Intermediate!B13:LO13)</f>
        <v>27.8</v>
      </c>
      <c r="AC14" s="1">
        <f>MIN(Intermediate!B13:LP13)</f>
        <v>0</v>
      </c>
      <c r="AD14" s="1">
        <f t="shared" si="8"/>
        <v>118.74079699667453</v>
      </c>
      <c r="AE14" s="1">
        <f t="shared" si="9"/>
        <v>4</v>
      </c>
      <c r="AF14" s="1">
        <f t="shared" si="10"/>
        <v>0.53723862032606662</v>
      </c>
      <c r="AG14" s="1">
        <f t="shared" si="11"/>
        <v>0.70444860130803988</v>
      </c>
      <c r="AI14" s="2" t="s">
        <v>14</v>
      </c>
      <c r="AJ14" s="4">
        <v>91.427428161340544</v>
      </c>
    </row>
    <row r="15" spans="1:36" ht="15.6" x14ac:dyDescent="0.3">
      <c r="A15" s="1" t="s">
        <v>18</v>
      </c>
      <c r="B15" s="1">
        <v>75.599999999999994</v>
      </c>
      <c r="C15" s="1">
        <v>46.5</v>
      </c>
      <c r="D15" s="1">
        <v>52</v>
      </c>
      <c r="E15" s="1">
        <v>56.1</v>
      </c>
      <c r="N15" s="1">
        <f t="shared" si="0"/>
        <v>230.2</v>
      </c>
      <c r="O15" s="1">
        <f t="shared" si="1"/>
        <v>57.55</v>
      </c>
      <c r="P15" s="1">
        <f t="shared" si="2"/>
        <v>54.05</v>
      </c>
      <c r="Q15" s="1">
        <f t="shared" si="3"/>
        <v>4</v>
      </c>
      <c r="S15" s="1">
        <f t="shared" si="4"/>
        <v>51.533333333333331</v>
      </c>
      <c r="T15" s="3">
        <f>AVERAGE(LARGE(B15:M15,{1,2,3}))</f>
        <v>61.233333333333327</v>
      </c>
      <c r="U15" s="3">
        <f>AVERAGE(SMALL(B15:M15,{1,2,3}))</f>
        <v>51.533333333333331</v>
      </c>
      <c r="V15" s="1">
        <f t="shared" si="5"/>
        <v>12.659778829031747</v>
      </c>
      <c r="W15" s="1">
        <f>_xlfn.STDEV.S(Intermediate!B14:LO14)</f>
        <v>6.3100781844243752</v>
      </c>
      <c r="X15" s="1">
        <f>AVERAGE(Intermediate!B14:LP14)</f>
        <v>7.1968749999999986</v>
      </c>
      <c r="Y15" s="1">
        <f>MEDIAN(Intermediate!B14:LQ14)</f>
        <v>5.6</v>
      </c>
      <c r="Z15" s="1">
        <f t="shared" si="6"/>
        <v>75.599999999999994</v>
      </c>
      <c r="AA15" s="1">
        <f t="shared" si="7"/>
        <v>46.5</v>
      </c>
      <c r="AB15" s="1">
        <f>MAX(Intermediate!B14:LO14)</f>
        <v>21.5</v>
      </c>
      <c r="AC15" s="1">
        <f>MIN(Intermediate!B14:LP14)</f>
        <v>1.2</v>
      </c>
      <c r="AD15" s="1">
        <f t="shared" si="8"/>
        <v>64.819120883302034</v>
      </c>
      <c r="AE15" s="1">
        <f t="shared" si="9"/>
        <v>14</v>
      </c>
      <c r="AF15" s="1">
        <f t="shared" si="10"/>
        <v>-2.6027226286492193</v>
      </c>
      <c r="AG15" s="1">
        <f t="shared" si="11"/>
        <v>4.624337272216927E-3</v>
      </c>
      <c r="AI15" s="2" t="s">
        <v>18</v>
      </c>
      <c r="AJ15" s="4">
        <v>64.819120883302034</v>
      </c>
    </row>
  </sheetData>
  <sortState ref="AI2:AJ15">
    <sortCondition ref="AI1"/>
  </sortState>
  <conditionalFormatting sqref="AJ2:AJ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MatchResults</vt:lpstr>
      <vt:lpstr>ByPlayer</vt:lpstr>
      <vt:lpstr>Intermediate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</dc:creator>
  <cp:lastModifiedBy>Rik</cp:lastModifiedBy>
  <dcterms:created xsi:type="dcterms:W3CDTF">2017-09-21T17:35:46Z</dcterms:created>
  <dcterms:modified xsi:type="dcterms:W3CDTF">2017-10-04T04:23:22Z</dcterms:modified>
</cp:coreProperties>
</file>