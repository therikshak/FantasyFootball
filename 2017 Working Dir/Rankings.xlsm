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k\Desktop\FantasyFootball\2017 Working Dir\"/>
    </mc:Choice>
  </mc:AlternateContent>
  <bookViews>
    <workbookView xWindow="0" yWindow="0" windowWidth="23040" windowHeight="9048" activeTab="3" xr2:uid="{C01C0519-7436-493B-A4BC-02C6458F01BC}"/>
  </bookViews>
  <sheets>
    <sheet name="MatchResults" sheetId="1" r:id="rId1"/>
    <sheet name="ByPlayer" sheetId="3" r:id="rId2"/>
    <sheet name="Intermediate" sheetId="4" r:id="rId3"/>
    <sheet name="Converted" sheetId="2" r:id="rId4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2" l="1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2" i="2"/>
  <c r="S2" i="2"/>
  <c r="U2" i="2" l="1"/>
  <c r="T2" i="2" l="1"/>
  <c r="K39" i="2" l="1"/>
  <c r="K41" i="2"/>
  <c r="K43" i="2"/>
  <c r="K45" i="2"/>
  <c r="K47" i="2"/>
  <c r="C17" i="2"/>
  <c r="C38" i="2" s="1"/>
  <c r="D17" i="2"/>
  <c r="D47" i="2" s="1"/>
  <c r="E17" i="2"/>
  <c r="E43" i="2" s="1"/>
  <c r="F17" i="2"/>
  <c r="F47" i="2" s="1"/>
  <c r="G17" i="2"/>
  <c r="H17" i="2"/>
  <c r="I17" i="2"/>
  <c r="J17" i="2"/>
  <c r="K17" i="2"/>
  <c r="L17" i="2"/>
  <c r="M17" i="2"/>
  <c r="B17" i="2"/>
  <c r="B40" i="2" s="1"/>
  <c r="C16" i="2"/>
  <c r="D16" i="2"/>
  <c r="E16" i="2"/>
  <c r="F16" i="2"/>
  <c r="G16" i="2"/>
  <c r="G40" i="2" s="1"/>
  <c r="H16" i="2"/>
  <c r="H38" i="2" s="1"/>
  <c r="I16" i="2"/>
  <c r="I38" i="2" s="1"/>
  <c r="J16" i="2"/>
  <c r="J35" i="2" s="1"/>
  <c r="K16" i="2"/>
  <c r="K35" i="2" s="1"/>
  <c r="L16" i="2"/>
  <c r="L36" i="2" s="1"/>
  <c r="M16" i="2"/>
  <c r="M34" i="2" s="1"/>
  <c r="B16" i="2"/>
  <c r="B19" i="2" s="1"/>
  <c r="M44" i="2" l="1"/>
  <c r="M40" i="2"/>
  <c r="M35" i="2"/>
  <c r="K44" i="2"/>
  <c r="K40" i="2"/>
  <c r="M47" i="2"/>
  <c r="M43" i="2"/>
  <c r="M39" i="2"/>
  <c r="M46" i="2"/>
  <c r="M42" i="2"/>
  <c r="M38" i="2"/>
  <c r="K46" i="2"/>
  <c r="K42" i="2"/>
  <c r="M37" i="2"/>
  <c r="M45" i="2"/>
  <c r="M41" i="2"/>
  <c r="M36" i="2"/>
  <c r="I43" i="2"/>
  <c r="I39" i="2"/>
  <c r="K36" i="2"/>
  <c r="I35" i="2"/>
  <c r="H47" i="2"/>
  <c r="L45" i="2"/>
  <c r="J44" i="2"/>
  <c r="H43" i="2"/>
  <c r="L41" i="2"/>
  <c r="J40" i="2"/>
  <c r="H39" i="2"/>
  <c r="L37" i="2"/>
  <c r="J36" i="2"/>
  <c r="H35" i="2"/>
  <c r="I47" i="2"/>
  <c r="I44" i="2"/>
  <c r="I40" i="2"/>
  <c r="K37" i="2"/>
  <c r="I36" i="2"/>
  <c r="L34" i="2"/>
  <c r="L46" i="2"/>
  <c r="J45" i="2"/>
  <c r="H44" i="2"/>
  <c r="L42" i="2"/>
  <c r="J41" i="2"/>
  <c r="H40" i="2"/>
  <c r="L38" i="2"/>
  <c r="J37" i="2"/>
  <c r="H36" i="2"/>
  <c r="K34" i="2"/>
  <c r="I45" i="2"/>
  <c r="K38" i="2"/>
  <c r="I37" i="2"/>
  <c r="I41" i="2"/>
  <c r="J34" i="2"/>
  <c r="L47" i="2"/>
  <c r="J46" i="2"/>
  <c r="H45" i="2"/>
  <c r="L43" i="2"/>
  <c r="J42" i="2"/>
  <c r="H41" i="2"/>
  <c r="L39" i="2"/>
  <c r="J38" i="2"/>
  <c r="H37" i="2"/>
  <c r="L35" i="2"/>
  <c r="I34" i="2"/>
  <c r="I46" i="2"/>
  <c r="I42" i="2"/>
  <c r="H34" i="2"/>
  <c r="J47" i="2"/>
  <c r="H46" i="2"/>
  <c r="L44" i="2"/>
  <c r="J43" i="2"/>
  <c r="H42" i="2"/>
  <c r="L40" i="2"/>
  <c r="J39" i="2"/>
  <c r="E40" i="2"/>
  <c r="E44" i="2"/>
  <c r="E37" i="2"/>
  <c r="E35" i="2"/>
  <c r="E47" i="2"/>
  <c r="E45" i="2"/>
  <c r="B46" i="2"/>
  <c r="B41" i="2"/>
  <c r="G47" i="2"/>
  <c r="G39" i="2"/>
  <c r="F43" i="2"/>
  <c r="F40" i="2"/>
  <c r="E41" i="2"/>
  <c r="E38" i="2"/>
  <c r="C36" i="2"/>
  <c r="C43" i="2"/>
  <c r="B45" i="2"/>
  <c r="B35" i="2"/>
  <c r="B38" i="2"/>
  <c r="B43" i="2"/>
  <c r="B42" i="2"/>
  <c r="B37" i="2"/>
  <c r="G38" i="2"/>
  <c r="G37" i="2"/>
  <c r="G36" i="2"/>
  <c r="G45" i="2"/>
  <c r="G44" i="2"/>
  <c r="G43" i="2"/>
  <c r="G35" i="2"/>
  <c r="G46" i="2"/>
  <c r="G42" i="2"/>
  <c r="G41" i="2"/>
  <c r="G34" i="2"/>
  <c r="F46" i="2"/>
  <c r="F39" i="2"/>
  <c r="F36" i="2"/>
  <c r="F42" i="2"/>
  <c r="F45" i="2"/>
  <c r="F38" i="2"/>
  <c r="F35" i="2"/>
  <c r="F41" i="2"/>
  <c r="F34" i="2"/>
  <c r="F44" i="2"/>
  <c r="F37" i="2"/>
  <c r="E34" i="2"/>
  <c r="E42" i="2"/>
  <c r="E39" i="2"/>
  <c r="E36" i="2"/>
  <c r="E46" i="2"/>
  <c r="D38" i="2"/>
  <c r="D36" i="2"/>
  <c r="D44" i="2"/>
  <c r="D46" i="2"/>
  <c r="D35" i="2"/>
  <c r="D42" i="2"/>
  <c r="D34" i="2"/>
  <c r="D43" i="2"/>
  <c r="D39" i="2"/>
  <c r="D37" i="2"/>
  <c r="D45" i="2"/>
  <c r="D41" i="2"/>
  <c r="D40" i="2"/>
  <c r="C34" i="2"/>
  <c r="C41" i="2"/>
  <c r="C39" i="2"/>
  <c r="C46" i="2"/>
  <c r="C44" i="2"/>
  <c r="C37" i="2"/>
  <c r="C47" i="2"/>
  <c r="C42" i="2"/>
  <c r="C35" i="2"/>
  <c r="C45" i="2"/>
  <c r="C40" i="2"/>
  <c r="B34" i="2"/>
  <c r="B44" i="2"/>
  <c r="B36" i="2"/>
  <c r="B47" i="2"/>
  <c r="B39" i="2"/>
  <c r="G24" i="2"/>
  <c r="X2" i="2"/>
  <c r="H20" i="2"/>
  <c r="I20" i="2"/>
  <c r="J20" i="2"/>
  <c r="K20" i="2"/>
  <c r="L20" i="2"/>
  <c r="M20" i="2"/>
  <c r="H21" i="2"/>
  <c r="I21" i="2"/>
  <c r="J21" i="2"/>
  <c r="K21" i="2"/>
  <c r="L21" i="2"/>
  <c r="M21" i="2"/>
  <c r="H22" i="2"/>
  <c r="I22" i="2"/>
  <c r="J22" i="2"/>
  <c r="K22" i="2"/>
  <c r="L22" i="2"/>
  <c r="M22" i="2"/>
  <c r="H23" i="2"/>
  <c r="I23" i="2"/>
  <c r="J23" i="2"/>
  <c r="K23" i="2"/>
  <c r="L23" i="2"/>
  <c r="M23" i="2"/>
  <c r="H24" i="2"/>
  <c r="I24" i="2"/>
  <c r="J24" i="2"/>
  <c r="K24" i="2"/>
  <c r="L24" i="2"/>
  <c r="M24" i="2"/>
  <c r="H25" i="2"/>
  <c r="I25" i="2"/>
  <c r="J25" i="2"/>
  <c r="K25" i="2"/>
  <c r="L25" i="2"/>
  <c r="M25" i="2"/>
  <c r="H26" i="2"/>
  <c r="I26" i="2"/>
  <c r="J26" i="2"/>
  <c r="K26" i="2"/>
  <c r="L26" i="2"/>
  <c r="M26" i="2"/>
  <c r="H27" i="2"/>
  <c r="I27" i="2"/>
  <c r="J27" i="2"/>
  <c r="K27" i="2"/>
  <c r="L27" i="2"/>
  <c r="M27" i="2"/>
  <c r="H28" i="2"/>
  <c r="I28" i="2"/>
  <c r="J28" i="2"/>
  <c r="K28" i="2"/>
  <c r="L28" i="2"/>
  <c r="M28" i="2"/>
  <c r="H29" i="2"/>
  <c r="I29" i="2"/>
  <c r="J29" i="2"/>
  <c r="K29" i="2"/>
  <c r="L29" i="2"/>
  <c r="M29" i="2"/>
  <c r="H30" i="2"/>
  <c r="I30" i="2"/>
  <c r="J30" i="2"/>
  <c r="K30" i="2"/>
  <c r="L30" i="2"/>
  <c r="M30" i="2"/>
  <c r="H31" i="2"/>
  <c r="I31" i="2"/>
  <c r="J31" i="2"/>
  <c r="K31" i="2"/>
  <c r="L31" i="2"/>
  <c r="M31" i="2"/>
  <c r="H32" i="2"/>
  <c r="I32" i="2"/>
  <c r="J32" i="2"/>
  <c r="K32" i="2"/>
  <c r="L32" i="2"/>
  <c r="M32" i="2"/>
  <c r="H19" i="2"/>
  <c r="I19" i="2"/>
  <c r="J19" i="2"/>
  <c r="K19" i="2"/>
  <c r="L19" i="2"/>
  <c r="M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19" i="2"/>
  <c r="D19" i="2"/>
  <c r="E19" i="2"/>
  <c r="F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N40" i="2" l="1"/>
  <c r="N37" i="2"/>
  <c r="N43" i="2"/>
  <c r="N36" i="2"/>
  <c r="N38" i="2"/>
  <c r="N47" i="2"/>
  <c r="N45" i="2"/>
  <c r="N41" i="2"/>
  <c r="N35" i="2"/>
  <c r="N42" i="2"/>
  <c r="N39" i="2"/>
  <c r="N44" i="2"/>
  <c r="N46" i="2"/>
  <c r="N34" i="2"/>
  <c r="N24" i="2"/>
  <c r="G25" i="2"/>
  <c r="N25" i="2" s="1"/>
  <c r="G19" i="2"/>
  <c r="N19" i="2" s="1"/>
  <c r="G27" i="2"/>
  <c r="N27" i="2" s="1"/>
  <c r="G28" i="2"/>
  <c r="N28" i="2" s="1"/>
  <c r="G20" i="2"/>
  <c r="N20" i="2" s="1"/>
  <c r="G26" i="2"/>
  <c r="N26" i="2" s="1"/>
  <c r="G30" i="2"/>
  <c r="N30" i="2" s="1"/>
  <c r="G31" i="2"/>
  <c r="N31" i="2" s="1"/>
  <c r="G23" i="2"/>
  <c r="N23" i="2" s="1"/>
  <c r="G29" i="2"/>
  <c r="N29" i="2" s="1"/>
  <c r="G21" i="2"/>
  <c r="N21" i="2" s="1"/>
  <c r="G22" i="2"/>
  <c r="N22" i="2" s="1"/>
  <c r="G32" i="2"/>
  <c r="N32" i="2" s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2" i="2"/>
  <c r="V4" i="2"/>
  <c r="V5" i="2"/>
  <c r="V6" i="2"/>
  <c r="V7" i="2"/>
  <c r="V8" i="2"/>
  <c r="V9" i="2"/>
  <c r="V10" i="2"/>
  <c r="V11" i="2"/>
  <c r="V12" i="2"/>
  <c r="V13" i="2"/>
  <c r="V14" i="2"/>
  <c r="V15" i="2"/>
  <c r="V3" i="2"/>
  <c r="V2" i="2"/>
  <c r="O2" i="2"/>
  <c r="N2" i="2"/>
  <c r="U3" i="2" l="1"/>
  <c r="U4" i="2"/>
  <c r="U5" i="2"/>
  <c r="U6" i="2"/>
  <c r="U7" i="2"/>
  <c r="U8" i="2"/>
  <c r="U9" i="2"/>
  <c r="U10" i="2"/>
  <c r="U11" i="2"/>
  <c r="U12" i="2"/>
  <c r="U13" i="2"/>
  <c r="U14" i="2"/>
  <c r="U15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AE6" i="2" l="1"/>
  <c r="AF6" i="2" s="1"/>
  <c r="AD11" i="2"/>
  <c r="AE4" i="2"/>
  <c r="AF4" i="2" s="1"/>
  <c r="AE5" i="2"/>
  <c r="AF5" i="2" s="1"/>
  <c r="AE13" i="2"/>
  <c r="AF13" i="2" s="1"/>
  <c r="AD7" i="2"/>
  <c r="AD6" i="2"/>
  <c r="AE9" i="2"/>
  <c r="AF9" i="2" s="1"/>
  <c r="AE14" i="2"/>
  <c r="AF14" i="2" s="1"/>
  <c r="AE2" i="2"/>
  <c r="AF2" i="2" s="1"/>
  <c r="AD2" i="2"/>
  <c r="AD8" i="2"/>
  <c r="AD4" i="2"/>
  <c r="AE12" i="2"/>
  <c r="AF12" i="2" s="1"/>
  <c r="AE3" i="2"/>
  <c r="AF3" i="2" s="1"/>
  <c r="AE10" i="2"/>
  <c r="AF10" i="2" s="1"/>
  <c r="AD5" i="2"/>
  <c r="AD9" i="2"/>
  <c r="AE7" i="2"/>
  <c r="AF7" i="2" s="1"/>
  <c r="AD10" i="2"/>
  <c r="AD12" i="2"/>
  <c r="AE8" i="2"/>
  <c r="AF8" i="2" s="1"/>
  <c r="AD3" i="2"/>
  <c r="AE11" i="2"/>
  <c r="AF11" i="2" s="1"/>
  <c r="AD14" i="2"/>
  <c r="AD13" i="2"/>
  <c r="AD15" i="2"/>
  <c r="AE15" i="2"/>
  <c r="AF15" i="2" s="1"/>
</calcChain>
</file>

<file path=xl/sharedStrings.xml><?xml version="1.0" encoding="utf-8"?>
<sst xmlns="http://schemas.openxmlformats.org/spreadsheetml/2006/main" count="1547" uniqueCount="304">
  <si>
    <t>Team 1 Name</t>
  </si>
  <si>
    <t>Team 2 Name</t>
  </si>
  <si>
    <t>Team 1 Score</t>
  </si>
  <si>
    <t>Team 2 Score</t>
  </si>
  <si>
    <t>Week</t>
  </si>
  <si>
    <t>Tommy Stupp</t>
  </si>
  <si>
    <t>Stefan Hanish</t>
  </si>
  <si>
    <t>James Horlacher</t>
  </si>
  <si>
    <t>Chandler Dalton</t>
  </si>
  <si>
    <t>Peter Condie</t>
  </si>
  <si>
    <t>Geoffrey Raclin</t>
  </si>
  <si>
    <t>Brendan Hart</t>
  </si>
  <si>
    <t>Richard Graney</t>
  </si>
  <si>
    <t>Andrew McDowell</t>
  </si>
  <si>
    <t>James Carman</t>
  </si>
  <si>
    <t>Trey Shmo</t>
  </si>
  <si>
    <t>Ozair Ferozuddin</t>
  </si>
  <si>
    <t>Erik Stryshak</t>
  </si>
  <si>
    <t>Charlie Frank</t>
  </si>
  <si>
    <t>Team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</si>
  <si>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</si>
  <si>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</si>
  <si>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</si>
  <si>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</si>
  <si>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</si>
  <si>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</si>
  <si>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</si>
  <si>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</si>
  <si>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</si>
  <si>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</si>
  <si>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</si>
  <si>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</si>
  <si>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Total</t>
  </si>
  <si>
    <t>Average</t>
  </si>
  <si>
    <t>nWeeeks</t>
  </si>
  <si>
    <t>Year</t>
  </si>
  <si>
    <t>YEAR</t>
  </si>
  <si>
    <t>WEEK</t>
  </si>
  <si>
    <t>TEAM_NAME</t>
  </si>
  <si>
    <t>QB_NAME</t>
  </si>
  <si>
    <t>QB_SCORE</t>
  </si>
  <si>
    <t>RB_NAME</t>
  </si>
  <si>
    <t>RB_SCORE</t>
  </si>
  <si>
    <t>RB_NAME.1</t>
  </si>
  <si>
    <t>RB_SCORE.1</t>
  </si>
  <si>
    <t>WR_NAME</t>
  </si>
  <si>
    <t>WR_SCORE</t>
  </si>
  <si>
    <t>WR_NAME.1</t>
  </si>
  <si>
    <t>WR_SCORE.1</t>
  </si>
  <si>
    <t>TE_NAME</t>
  </si>
  <si>
    <t>TE_SCORE</t>
  </si>
  <si>
    <t>DST_NAME</t>
  </si>
  <si>
    <t>DST_SCORE</t>
  </si>
  <si>
    <t>FLEX_NAME</t>
  </si>
  <si>
    <t>FLEX_POS</t>
  </si>
  <si>
    <t>FLEX_SCORE</t>
  </si>
  <si>
    <t>Andy Dalton</t>
  </si>
  <si>
    <t>LeSean McCoy</t>
  </si>
  <si>
    <t>Ty Montgomery</t>
  </si>
  <si>
    <t>Keenan Allen</t>
  </si>
  <si>
    <t>Sterling Shepard</t>
  </si>
  <si>
    <t>Jared Cook</t>
  </si>
  <si>
    <t>Vikings D/ST</t>
  </si>
  <si>
    <t>Jameis Winston</t>
  </si>
  <si>
    <t>Brandon Coleman</t>
  </si>
  <si>
    <t>wr</t>
  </si>
  <si>
    <t>Russell Wilson</t>
  </si>
  <si>
    <t>David Johnson</t>
  </si>
  <si>
    <t>Dez Bryant</t>
  </si>
  <si>
    <t>Allen Robinson</t>
  </si>
  <si>
    <t>Travis Kelce</t>
  </si>
  <si>
    <t>Panthers D/ST</t>
  </si>
  <si>
    <t>Terrance West</t>
  </si>
  <si>
    <t>rb</t>
  </si>
  <si>
    <t>Pierre Garcon</t>
  </si>
  <si>
    <t>Jalen Richard</t>
  </si>
  <si>
    <t>Packers D/ST</t>
  </si>
  <si>
    <t>Cam Newton</t>
  </si>
  <si>
    <t>DeMarco Murray</t>
  </si>
  <si>
    <t>Kareem Hunt</t>
  </si>
  <si>
    <t>Demaryius Thomas</t>
  </si>
  <si>
    <t>Jeremy Maclin</t>
  </si>
  <si>
    <t>Jason Witten</t>
  </si>
  <si>
    <t>Jaguars D/ST</t>
  </si>
  <si>
    <t>Leonard Fournette</t>
  </si>
  <si>
    <t>Coby Fleener</t>
  </si>
  <si>
    <t>DeVante Parker</t>
  </si>
  <si>
    <t>Alex Smith</t>
  </si>
  <si>
    <t>Mark Ingram</t>
  </si>
  <si>
    <t>Derek Carr</t>
  </si>
  <si>
    <t>Isaiah Crowell</t>
  </si>
  <si>
    <t>Bilal Powell</t>
  </si>
  <si>
    <t>Doug Baldwin</t>
  </si>
  <si>
    <t>Mike Wallace</t>
  </si>
  <si>
    <t>Greg Olsen</t>
  </si>
  <si>
    <t>Eagles D/ST</t>
  </si>
  <si>
    <t>Tyrell Williams</t>
  </si>
  <si>
    <t>Jonathan Stewart</t>
  </si>
  <si>
    <t>Jermaine Kearse</t>
  </si>
  <si>
    <t>Zach Miller</t>
  </si>
  <si>
    <t>Marcus Mariota</t>
  </si>
  <si>
    <t>Christian McCaffrey</t>
  </si>
  <si>
    <t>Mike Gillislee</t>
  </si>
  <si>
    <t>Stefon Diggs</t>
  </si>
  <si>
    <t>Kendall Wright</t>
  </si>
  <si>
    <t>Jimmy Graham</t>
  </si>
  <si>
    <t>Bills D/ST</t>
  </si>
  <si>
    <t>Ezekiel Elliott</t>
  </si>
  <si>
    <t>Chris Hogan</t>
  </si>
  <si>
    <t>Ravens D/ST</t>
  </si>
  <si>
    <t>Jay Cutler</t>
  </si>
  <si>
    <t>Odell Beckham Jr.</t>
  </si>
  <si>
    <t>Hunter Henry</t>
  </si>
  <si>
    <t>Drew Brees</t>
  </si>
  <si>
    <t>Paul Perkins</t>
  </si>
  <si>
    <t>Devonta Freeman</t>
  </si>
  <si>
    <t>A.J. Green</t>
  </si>
  <si>
    <t>Golden Tate</t>
  </si>
  <si>
    <t>Martellus Bennett</t>
  </si>
  <si>
    <t>Giants D/ST</t>
  </si>
  <si>
    <t>Theo Riddick</t>
  </si>
  <si>
    <t>DeSean Jackson</t>
  </si>
  <si>
    <t>Marvin Jones Jr.</t>
  </si>
  <si>
    <t>LeGarrette Blount</t>
  </si>
  <si>
    <t>Horlacher</t>
  </si>
  <si>
    <t>Ben Roethlisberger</t>
  </si>
  <si>
    <t>Tevin Coleman</t>
  </si>
  <si>
    <t>Antonio Brown</t>
  </si>
  <si>
    <t>Brandin Cooks</t>
  </si>
  <si>
    <t>Antonio Gates</t>
  </si>
  <si>
    <t>Steelers D/ST</t>
  </si>
  <si>
    <t>Kelvin Benjamin</t>
  </si>
  <si>
    <t>Julius Thomas</t>
  </si>
  <si>
    <t>Raiders D/ST</t>
  </si>
  <si>
    <t>Jarvis Landry</t>
  </si>
  <si>
    <t>Tyrod Taylor</t>
  </si>
  <si>
    <t>Chris Carson</t>
  </si>
  <si>
    <t>Benjamin Watson</t>
  </si>
  <si>
    <t>Dolphins D/ST</t>
  </si>
  <si>
    <t>Titans D/ST</t>
  </si>
  <si>
    <t>Aaron Rodgers</t>
  </si>
  <si>
    <t>Marshawn Lynch</t>
  </si>
  <si>
    <t>Alfred Morris</t>
  </si>
  <si>
    <t>Larry Fitzgerald</t>
  </si>
  <si>
    <t>Terrelle Pryor Sr.</t>
  </si>
  <si>
    <t>Chiefs D/ST</t>
  </si>
  <si>
    <t>James White</t>
  </si>
  <si>
    <t>Jesse James</t>
  </si>
  <si>
    <t>Eric Decker</t>
  </si>
  <si>
    <t>Chris Johnson</t>
  </si>
  <si>
    <t>Marcedes Lewis</t>
  </si>
  <si>
    <t>Robert Woods</t>
  </si>
  <si>
    <t>Dak Prescott</t>
  </si>
  <si>
    <t>Jordan Howard</t>
  </si>
  <si>
    <t>Lamar Miller</t>
  </si>
  <si>
    <t>Tyreek Hill</t>
  </si>
  <si>
    <t>Randall Cobb</t>
  </si>
  <si>
    <t>Zach Ertz</t>
  </si>
  <si>
    <t>Cardinals D/ST</t>
  </si>
  <si>
    <t>Brandon Marshall</t>
  </si>
  <si>
    <t>Chris Thompson</t>
  </si>
  <si>
    <t>J.J. Nelson</t>
  </si>
  <si>
    <t>Matt Ryan</t>
  </si>
  <si>
    <t>Carlos Hyde</t>
  </si>
  <si>
    <t>Dion Lewis</t>
  </si>
  <si>
    <t>DeAndre Hopkins</t>
  </si>
  <si>
    <t>Davante Adams</t>
  </si>
  <si>
    <t>Kyle Rudolph</t>
  </si>
  <si>
    <t>Broncos D/ST</t>
  </si>
  <si>
    <t>Emmanuel Sanders</t>
  </si>
  <si>
    <t>Jay Ajayi</t>
  </si>
  <si>
    <t>Charles Clay</t>
  </si>
  <si>
    <t>Sam Bradford</t>
  </si>
  <si>
    <t>Dalvin Cook</t>
  </si>
  <si>
    <t>Frank Gore</t>
  </si>
  <si>
    <t>Michael Thomas</t>
  </si>
  <si>
    <t>Cole Beasley</t>
  </si>
  <si>
    <t>Jordan Reed</t>
  </si>
  <si>
    <t>Bengals D/ST</t>
  </si>
  <si>
    <t>Rishard Matthews</t>
  </si>
  <si>
    <t>Trevor Siemian</t>
  </si>
  <si>
    <t>Mike Evans</t>
  </si>
  <si>
    <t>Cooper Kupp</t>
  </si>
  <si>
    <t>Eric Ebron</t>
  </si>
  <si>
    <t>Patriots D/ST</t>
  </si>
  <si>
    <t>Kirk Cousins</t>
  </si>
  <si>
    <t>Le'Veon Bell</t>
  </si>
  <si>
    <t>Melvin Gordon</t>
  </si>
  <si>
    <t>Alshon Jeffery</t>
  </si>
  <si>
    <t>Michael Crabtree</t>
  </si>
  <si>
    <t>Jack Doyle</t>
  </si>
  <si>
    <t>Martavis Bryant</t>
  </si>
  <si>
    <t>Cameron Brate</t>
  </si>
  <si>
    <t>Buccaneers D/ST</t>
  </si>
  <si>
    <t>Wendell Smallwood</t>
  </si>
  <si>
    <t>Tom Brady</t>
  </si>
  <si>
    <t>Adrian Peterson</t>
  </si>
  <si>
    <t>C.J. Anderson</t>
  </si>
  <si>
    <t>Julio Jones</t>
  </si>
  <si>
    <t>T.Y. Hilton</t>
  </si>
  <si>
    <t>Delanie Walker</t>
  </si>
  <si>
    <t>Seahawks D/ST</t>
  </si>
  <si>
    <t>Eddie Lacy</t>
  </si>
  <si>
    <t>Jacquizz Rodgers</t>
  </si>
  <si>
    <t>Javorius Allen</t>
  </si>
  <si>
    <t>Carson Wentz</t>
  </si>
  <si>
    <t>Danny Woodhead</t>
  </si>
  <si>
    <t>Duke Johnson Jr.</t>
  </si>
  <si>
    <t>Amari Cooper</t>
  </si>
  <si>
    <t>Jordy Nelson</t>
  </si>
  <si>
    <t>Rob Gronkowski</t>
  </si>
  <si>
    <t>Texans D/ST</t>
  </si>
  <si>
    <t>Sammy Watkins</t>
  </si>
  <si>
    <t>Joe Mixon</t>
  </si>
  <si>
    <t>Kerwynn Williams</t>
  </si>
  <si>
    <t>Colts D/ST</t>
  </si>
  <si>
    <t>Rank</t>
  </si>
  <si>
    <t>Player STD</t>
  </si>
  <si>
    <t>Rob Kelley</t>
  </si>
  <si>
    <t>Willie Snead</t>
  </si>
  <si>
    <t>Corey Davis</t>
  </si>
  <si>
    <t>Jordan Matthews</t>
  </si>
  <si>
    <t>Darren Sproles</t>
  </si>
  <si>
    <t>Team STD</t>
  </si>
  <si>
    <t>Team High</t>
  </si>
  <si>
    <t>Team Low</t>
  </si>
  <si>
    <t>Player High</t>
  </si>
  <si>
    <t>Player Low</t>
  </si>
  <si>
    <t>Player AVE</t>
  </si>
  <si>
    <t>Player Med</t>
  </si>
  <si>
    <t>Median</t>
  </si>
  <si>
    <t>Rank Value</t>
  </si>
  <si>
    <t>Top 3 AVE</t>
  </si>
  <si>
    <t>Bot 3 AVE</t>
  </si>
  <si>
    <t>Percentile</t>
  </si>
  <si>
    <t>Z</t>
  </si>
  <si>
    <t>Jamaal Williams</t>
  </si>
  <si>
    <t>Tavon Austin</t>
  </si>
  <si>
    <t>Latavius Murray</t>
  </si>
  <si>
    <t>Devin Funchess</t>
  </si>
  <si>
    <t>Matthew Stafford</t>
  </si>
  <si>
    <t>Lions D/ST</t>
  </si>
  <si>
    <t>Jacoby Brissett</t>
  </si>
  <si>
    <t>n/a</t>
  </si>
  <si>
    <t>Eli Manning</t>
  </si>
  <si>
    <t>Giovani Bernard</t>
  </si>
  <si>
    <t>Corey Clement</t>
  </si>
  <si>
    <t>Aaron Jones</t>
  </si>
  <si>
    <t>Danny Amendola</t>
  </si>
  <si>
    <t>Tyler Lockett</t>
  </si>
  <si>
    <t>Carson Palmer</t>
  </si>
  <si>
    <t>Adam Thielen</t>
  </si>
  <si>
    <t>Wayne Gallman</t>
  </si>
  <si>
    <t>Josh McCown</t>
  </si>
  <si>
    <t>Tyler Kroft</t>
  </si>
  <si>
    <t>Ameer Abdullah</t>
  </si>
  <si>
    <t>Will Fuller V</t>
  </si>
  <si>
    <t>Evan Engram</t>
  </si>
  <si>
    <t>te</t>
  </si>
  <si>
    <t>Austin Seferian-Jenkins</t>
  </si>
  <si>
    <t>AVERAGE</t>
  </si>
  <si>
    <t>MEDIAN</t>
  </si>
  <si>
    <t>Med Comp</t>
  </si>
  <si>
    <t>Ave Comp</t>
  </si>
  <si>
    <t>Philip Rivers</t>
  </si>
  <si>
    <t>Andre Ellington</t>
  </si>
  <si>
    <t>Redskins D/ST</t>
  </si>
  <si>
    <t>Matt Breida</t>
  </si>
  <si>
    <t>Falcons D/ST</t>
  </si>
  <si>
    <t>Doug Martin</t>
  </si>
  <si>
    <t>Ed Dickson</t>
  </si>
  <si>
    <t>Jared Goff</t>
  </si>
  <si>
    <t>Rams D/ST</t>
  </si>
  <si>
    <t>Alvin Kamara</t>
  </si>
  <si>
    <t>Samaje Perine</t>
  </si>
  <si>
    <t>DeAndre Washington</t>
  </si>
  <si>
    <t>Todd Gurley II</t>
  </si>
  <si>
    <t>Chris Ivory</t>
  </si>
  <si>
    <t>Ted Ginn Jr.</t>
  </si>
  <si>
    <t>Tarik Cohen</t>
  </si>
  <si>
    <t>Paul Richardson</t>
  </si>
  <si>
    <t>Saints D/ST</t>
  </si>
  <si>
    <t>Mike Williams</t>
  </si>
  <si>
    <t>Mohamed Sanu</t>
  </si>
  <si>
    <t>Brett Hundley</t>
  </si>
  <si>
    <t>Mitchell Trubisky</t>
  </si>
  <si>
    <t>Austin Ekeler</t>
  </si>
  <si>
    <t>Jerick McKinnon</t>
  </si>
  <si>
    <t>Austin Hooper</t>
  </si>
  <si>
    <t>Orleans Darkwa</t>
  </si>
  <si>
    <t>Matt Forte</t>
  </si>
  <si>
    <t>Robby Anderson</t>
  </si>
  <si>
    <t>Vernon Davis</t>
  </si>
  <si>
    <t>Cowboys D/ST</t>
  </si>
  <si>
    <t>Jamison Crowder</t>
  </si>
  <si>
    <t>Marquise Goodwin</t>
  </si>
  <si>
    <t>Josh Doctson</t>
  </si>
  <si>
    <t>Rod Smith</t>
  </si>
  <si>
    <t>49ers D/ST</t>
  </si>
  <si>
    <t>Kenny Stills</t>
  </si>
  <si>
    <t>Nelson Agholor</t>
  </si>
  <si>
    <t>Ryan Griffin</t>
  </si>
  <si>
    <t>Kenyan Drake</t>
  </si>
  <si>
    <t>5WM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</si>
</sst>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0" borderId="5" xfId="0" applyFont="1" applyBorder="1"/>
    <xf numFmtId="0" fontId="1" fillId="0" borderId="1" xfId="0" applyFont="1" applyBorder="1"/>
    <xf numFmtId="0" fontId="1" fillId="0" borderId="2" xfId="0" applyFont="1" applyBorder="1"/>
    <xf numFmtId="0" fontId="2" fillId="0" borderId="2" xfId="0" applyFont="1" applyBorder="1" applyAlignment="1">
      <alignment vertical="center"/>
    </xf>
    <xf numFmtId="0" fontId="1" fillId="0" borderId="0" xfId="0" applyFont="1" applyBorder="1"/>
    <xf numFmtId="0" fontId="1" fillId="0" borderId="3" xfId="0" applyFont="1" applyBorder="1"/>
    <xf numFmtId="0" fontId="2" fillId="0" borderId="0" xfId="0" applyFont="1" applyBorder="1" applyAlignment="1">
      <alignment vertical="center"/>
    </xf>
    <xf numFmtId="0" fontId="1" fillId="0" borderId="4" xfId="0" applyFont="1" applyBorder="1"/>
    <xf numFmtId="0" fontId="2" fillId="0" borderId="5" xfId="0" applyFont="1" applyBorder="1" applyAlignment="1">
      <alignment vertical="center"/>
    </xf>
    <xf numFmtId="0" fontId="1" fillId="0" borderId="3" xfId="0" applyFont="1" applyFill="1" applyBorder="1"/>
    <xf numFmtId="0" fontId="1" fillId="0" borderId="5" xfId="0" applyFont="1" applyFill="1" applyBorder="1"/>
    <xf numFmtId="1" fontId="1" fillId="0" borderId="0" xfId="0" applyNumberFormat="1" applyFont="1"/>
    <xf numFmtId="1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Fill="1" applyBorder="1"/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541C96-C7A7-4D40-BE76-A4881D3B84E9}" name="Table1" displayName="Table1" ref="AH1:AJ15" totalsRowShown="0">
  <autoFilter ref="AH1:AJ15" xr:uid="{B36F7431-8178-4C04-B82F-1A5804CA900B}"/>
  <sortState ref="AH2:AJ15">
    <sortCondition descending="1" ref="AI1:AI15"/>
  </sortState>
  <tableColumns count="3">
    <tableColumn id="1" xr3:uid="{0A8D40C5-88CF-4B91-A3F0-8C54B9B578F3}" name="Team" dataDxfId="2"/>
    <tableColumn id="2" xr3:uid="{280377BD-E293-43BC-AA6A-95D7C25C127A}" name="Rank Value" dataDxfId="1"/>
    <tableColumn id="3" xr3:uid="{1646DB9E-9613-4A9B-AB2E-282BE53E75D6}" name="Percenti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B46-D0B4-4085-BD9F-A0FA636FB550}">
  <sheetPr codeName="Sheet1"/>
  <dimension ref="A1:F64"/>
  <sheetViews>
    <sheetView workbookViewId="0">
      <selection activeCell="I7" sqref="I7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35</v>
      </c>
    </row>
    <row r="2" spans="1:6" x14ac:dyDescent="0.3">
      <c r="A2" t="s">
        <v>5</v>
      </c>
      <c r="B2" t="s">
        <v>6</v>
      </c>
      <c r="C2">
        <v>52.9</v>
      </c>
      <c r="D2">
        <v>56.8</v>
      </c>
      <c r="E2">
        <v>1</v>
      </c>
      <c r="F2">
        <v>2017</v>
      </c>
    </row>
    <row r="3" spans="1:6" x14ac:dyDescent="0.3">
      <c r="A3" t="s">
        <v>7</v>
      </c>
      <c r="B3" t="s">
        <v>8</v>
      </c>
      <c r="C3">
        <v>93.8</v>
      </c>
      <c r="D3">
        <v>149.19999999999999</v>
      </c>
      <c r="E3">
        <v>1</v>
      </c>
      <c r="F3">
        <v>2017</v>
      </c>
    </row>
    <row r="4" spans="1:6" x14ac:dyDescent="0.3">
      <c r="A4" t="s">
        <v>9</v>
      </c>
      <c r="B4" t="s">
        <v>10</v>
      </c>
      <c r="C4">
        <v>71.599999999999994</v>
      </c>
      <c r="D4">
        <v>73.900000000000006</v>
      </c>
      <c r="E4">
        <v>1</v>
      </c>
      <c r="F4">
        <v>2017</v>
      </c>
    </row>
    <row r="5" spans="1:6" x14ac:dyDescent="0.3">
      <c r="A5" t="s">
        <v>11</v>
      </c>
      <c r="B5" t="s">
        <v>12</v>
      </c>
      <c r="C5">
        <v>78</v>
      </c>
      <c r="D5">
        <v>78.3</v>
      </c>
      <c r="E5">
        <v>1</v>
      </c>
      <c r="F5">
        <v>2017</v>
      </c>
    </row>
    <row r="6" spans="1:6" x14ac:dyDescent="0.3">
      <c r="A6" t="s">
        <v>13</v>
      </c>
      <c r="B6" t="s">
        <v>14</v>
      </c>
      <c r="C6">
        <v>65.400000000000006</v>
      </c>
      <c r="D6">
        <v>55.9</v>
      </c>
      <c r="E6">
        <v>1</v>
      </c>
      <c r="F6">
        <v>2017</v>
      </c>
    </row>
    <row r="7" spans="1:6" x14ac:dyDescent="0.3">
      <c r="A7" t="s">
        <v>15</v>
      </c>
      <c r="B7" t="s">
        <v>16</v>
      </c>
      <c r="C7">
        <v>72.5</v>
      </c>
      <c r="D7">
        <v>99.9</v>
      </c>
      <c r="E7">
        <v>1</v>
      </c>
      <c r="F7">
        <v>2017</v>
      </c>
    </row>
    <row r="8" spans="1:6" x14ac:dyDescent="0.3">
      <c r="A8" t="s">
        <v>17</v>
      </c>
      <c r="B8" t="s">
        <v>18</v>
      </c>
      <c r="C8">
        <v>107</v>
      </c>
      <c r="D8">
        <v>75.599999999999994</v>
      </c>
      <c r="E8">
        <v>1</v>
      </c>
      <c r="F8">
        <v>2017</v>
      </c>
    </row>
    <row r="9" spans="1:6" x14ac:dyDescent="0.3">
      <c r="A9" t="s">
        <v>7</v>
      </c>
      <c r="B9" t="s">
        <v>5</v>
      </c>
      <c r="C9">
        <v>70.599999999999994</v>
      </c>
      <c r="D9">
        <v>133</v>
      </c>
      <c r="E9">
        <v>2</v>
      </c>
      <c r="F9">
        <v>2017</v>
      </c>
    </row>
    <row r="10" spans="1:6" x14ac:dyDescent="0.3">
      <c r="A10" t="s">
        <v>6</v>
      </c>
      <c r="B10" t="s">
        <v>9</v>
      </c>
      <c r="C10">
        <v>126.3</v>
      </c>
      <c r="D10">
        <v>116.6</v>
      </c>
      <c r="E10">
        <v>2</v>
      </c>
      <c r="F10">
        <v>2017</v>
      </c>
    </row>
    <row r="11" spans="1:6" x14ac:dyDescent="0.3">
      <c r="A11" t="s">
        <v>8</v>
      </c>
      <c r="B11" t="s">
        <v>11</v>
      </c>
      <c r="C11">
        <v>83.9</v>
      </c>
      <c r="D11">
        <v>101.6</v>
      </c>
      <c r="E11">
        <v>2</v>
      </c>
      <c r="F11">
        <v>2017</v>
      </c>
    </row>
    <row r="12" spans="1:6" x14ac:dyDescent="0.3">
      <c r="A12" t="s">
        <v>10</v>
      </c>
      <c r="B12" t="s">
        <v>13</v>
      </c>
      <c r="C12">
        <v>80.8</v>
      </c>
      <c r="D12">
        <v>77.7</v>
      </c>
      <c r="E12">
        <v>2</v>
      </c>
      <c r="F12">
        <v>2017</v>
      </c>
    </row>
    <row r="13" spans="1:6" x14ac:dyDescent="0.3">
      <c r="A13" t="s">
        <v>12</v>
      </c>
      <c r="B13" t="s">
        <v>15</v>
      </c>
      <c r="C13">
        <v>89</v>
      </c>
      <c r="D13">
        <v>69.2</v>
      </c>
      <c r="E13">
        <v>2</v>
      </c>
      <c r="F13">
        <v>2017</v>
      </c>
    </row>
    <row r="14" spans="1:6" x14ac:dyDescent="0.3">
      <c r="A14" t="s">
        <v>14</v>
      </c>
      <c r="B14" t="s">
        <v>17</v>
      </c>
      <c r="C14">
        <v>69.3</v>
      </c>
      <c r="D14">
        <v>71.2</v>
      </c>
      <c r="E14">
        <v>2</v>
      </c>
      <c r="F14">
        <v>2017</v>
      </c>
    </row>
    <row r="15" spans="1:6" x14ac:dyDescent="0.3">
      <c r="A15" t="s">
        <v>16</v>
      </c>
      <c r="B15" t="s">
        <v>18</v>
      </c>
      <c r="C15">
        <v>66.7</v>
      </c>
      <c r="D15">
        <v>46.5</v>
      </c>
      <c r="E15">
        <v>2</v>
      </c>
      <c r="F15">
        <v>2017</v>
      </c>
    </row>
    <row r="16" spans="1:6" x14ac:dyDescent="0.3">
      <c r="A16" t="s">
        <v>5</v>
      </c>
      <c r="B16" t="s">
        <v>9</v>
      </c>
      <c r="C16">
        <v>96.5</v>
      </c>
      <c r="D16">
        <v>75</v>
      </c>
      <c r="E16">
        <v>3</v>
      </c>
      <c r="F16">
        <v>2017</v>
      </c>
    </row>
    <row r="17" spans="1:6" x14ac:dyDescent="0.3">
      <c r="A17" t="s">
        <v>11</v>
      </c>
      <c r="B17" t="s">
        <v>7</v>
      </c>
      <c r="C17">
        <v>110.4</v>
      </c>
      <c r="D17">
        <v>84.8</v>
      </c>
      <c r="E17">
        <v>3</v>
      </c>
      <c r="F17">
        <v>2017</v>
      </c>
    </row>
    <row r="18" spans="1:6" x14ac:dyDescent="0.3">
      <c r="A18" t="s">
        <v>13</v>
      </c>
      <c r="B18" t="s">
        <v>6</v>
      </c>
      <c r="C18">
        <v>94.7</v>
      </c>
      <c r="D18">
        <v>67.599999999999994</v>
      </c>
      <c r="E18">
        <v>3</v>
      </c>
      <c r="F18">
        <v>2017</v>
      </c>
    </row>
    <row r="19" spans="1:6" x14ac:dyDescent="0.3">
      <c r="A19" t="s">
        <v>15</v>
      </c>
      <c r="B19" t="s">
        <v>8</v>
      </c>
      <c r="C19">
        <v>115.6</v>
      </c>
      <c r="D19">
        <v>94.2</v>
      </c>
      <c r="E19">
        <v>3</v>
      </c>
      <c r="F19">
        <v>2017</v>
      </c>
    </row>
    <row r="20" spans="1:6" x14ac:dyDescent="0.3">
      <c r="A20" t="s">
        <v>17</v>
      </c>
      <c r="B20" t="s">
        <v>10</v>
      </c>
      <c r="C20">
        <v>100.4</v>
      </c>
      <c r="D20">
        <v>93.7</v>
      </c>
      <c r="E20">
        <v>3</v>
      </c>
      <c r="F20">
        <v>2017</v>
      </c>
    </row>
    <row r="21" spans="1:6" x14ac:dyDescent="0.3">
      <c r="A21" t="s">
        <v>18</v>
      </c>
      <c r="B21" t="s">
        <v>12</v>
      </c>
      <c r="C21">
        <v>52</v>
      </c>
      <c r="D21">
        <v>81.5</v>
      </c>
      <c r="E21">
        <v>3</v>
      </c>
      <c r="F21">
        <v>2017</v>
      </c>
    </row>
    <row r="22" spans="1:6" x14ac:dyDescent="0.3">
      <c r="A22" t="s">
        <v>16</v>
      </c>
      <c r="B22" t="s">
        <v>14</v>
      </c>
      <c r="C22">
        <v>90.7</v>
      </c>
      <c r="D22">
        <v>81.099999999999994</v>
      </c>
      <c r="E22">
        <v>3</v>
      </c>
      <c r="F22">
        <v>2017</v>
      </c>
    </row>
    <row r="23" spans="1:6" x14ac:dyDescent="0.3">
      <c r="A23" t="s">
        <v>11</v>
      </c>
      <c r="B23" t="s">
        <v>5</v>
      </c>
      <c r="C23">
        <v>115.3</v>
      </c>
      <c r="D23">
        <v>90.2</v>
      </c>
      <c r="E23">
        <v>4</v>
      </c>
      <c r="F23">
        <v>2017</v>
      </c>
    </row>
    <row r="24" spans="1:6" x14ac:dyDescent="0.3">
      <c r="A24" t="s">
        <v>9</v>
      </c>
      <c r="B24" t="s">
        <v>13</v>
      </c>
      <c r="C24">
        <v>83.1</v>
      </c>
      <c r="D24">
        <v>82.5</v>
      </c>
      <c r="E24">
        <v>4</v>
      </c>
      <c r="F24">
        <v>2017</v>
      </c>
    </row>
    <row r="25" spans="1:6" x14ac:dyDescent="0.3">
      <c r="A25" t="s">
        <v>7</v>
      </c>
      <c r="B25" t="s">
        <v>15</v>
      </c>
      <c r="C25">
        <v>58.6</v>
      </c>
      <c r="D25">
        <v>95.8</v>
      </c>
      <c r="E25">
        <v>4</v>
      </c>
      <c r="F25">
        <v>2017</v>
      </c>
    </row>
    <row r="26" spans="1:6" x14ac:dyDescent="0.3">
      <c r="A26" t="s">
        <v>6</v>
      </c>
      <c r="B26" t="s">
        <v>17</v>
      </c>
      <c r="C26">
        <v>93.1</v>
      </c>
      <c r="D26">
        <v>99.2</v>
      </c>
      <c r="E26">
        <v>4</v>
      </c>
      <c r="F26">
        <v>2017</v>
      </c>
    </row>
    <row r="27" spans="1:6" x14ac:dyDescent="0.3">
      <c r="A27" t="s">
        <v>8</v>
      </c>
      <c r="B27" t="s">
        <v>18</v>
      </c>
      <c r="C27">
        <v>96.9</v>
      </c>
      <c r="D27">
        <v>56.1</v>
      </c>
      <c r="E27">
        <v>4</v>
      </c>
      <c r="F27">
        <v>2017</v>
      </c>
    </row>
    <row r="28" spans="1:6" x14ac:dyDescent="0.3">
      <c r="A28" t="s">
        <v>10</v>
      </c>
      <c r="B28" t="s">
        <v>16</v>
      </c>
      <c r="C28">
        <v>79.7</v>
      </c>
      <c r="D28">
        <v>99.7</v>
      </c>
      <c r="E28">
        <v>4</v>
      </c>
      <c r="F28">
        <v>2017</v>
      </c>
    </row>
    <row r="29" spans="1:6" x14ac:dyDescent="0.3">
      <c r="A29" t="s">
        <v>12</v>
      </c>
      <c r="B29" t="s">
        <v>14</v>
      </c>
      <c r="C29">
        <v>85.3</v>
      </c>
      <c r="D29">
        <v>68.599999999999994</v>
      </c>
      <c r="E29">
        <v>4</v>
      </c>
      <c r="F29">
        <v>2017</v>
      </c>
    </row>
    <row r="30" spans="1:6" x14ac:dyDescent="0.3">
      <c r="A30" t="s">
        <v>5</v>
      </c>
      <c r="B30" t="s">
        <v>13</v>
      </c>
      <c r="C30">
        <v>86.4</v>
      </c>
      <c r="D30">
        <v>59.3</v>
      </c>
      <c r="E30">
        <v>5</v>
      </c>
      <c r="F30">
        <v>2017</v>
      </c>
    </row>
    <row r="31" spans="1:6" x14ac:dyDescent="0.3">
      <c r="A31" t="s">
        <v>15</v>
      </c>
      <c r="B31" t="s">
        <v>11</v>
      </c>
      <c r="C31">
        <v>72</v>
      </c>
      <c r="D31">
        <v>81.400000000000006</v>
      </c>
      <c r="E31">
        <v>5</v>
      </c>
      <c r="F31">
        <v>2017</v>
      </c>
    </row>
    <row r="32" spans="1:6" x14ac:dyDescent="0.3">
      <c r="A32" t="s">
        <v>17</v>
      </c>
      <c r="B32" t="s">
        <v>9</v>
      </c>
      <c r="C32">
        <v>94</v>
      </c>
      <c r="D32">
        <v>96.6</v>
      </c>
      <c r="E32">
        <v>5</v>
      </c>
      <c r="F32">
        <v>2017</v>
      </c>
    </row>
    <row r="33" spans="1:6" x14ac:dyDescent="0.3">
      <c r="A33" t="s">
        <v>18</v>
      </c>
      <c r="B33" t="s">
        <v>7</v>
      </c>
      <c r="C33">
        <v>59.4</v>
      </c>
      <c r="D33">
        <v>73.2</v>
      </c>
      <c r="E33">
        <v>5</v>
      </c>
      <c r="F33">
        <v>2017</v>
      </c>
    </row>
    <row r="34" spans="1:6" x14ac:dyDescent="0.3">
      <c r="A34" t="s">
        <v>16</v>
      </c>
      <c r="B34" t="s">
        <v>6</v>
      </c>
      <c r="C34">
        <v>87.5</v>
      </c>
      <c r="D34">
        <v>96.6</v>
      </c>
      <c r="E34">
        <v>5</v>
      </c>
      <c r="F34">
        <v>2017</v>
      </c>
    </row>
    <row r="35" spans="1:6" x14ac:dyDescent="0.3">
      <c r="A35" t="s">
        <v>14</v>
      </c>
      <c r="B35" t="s">
        <v>8</v>
      </c>
      <c r="C35">
        <v>87.7</v>
      </c>
      <c r="D35">
        <v>118.7</v>
      </c>
      <c r="E35">
        <v>5</v>
      </c>
      <c r="F35">
        <v>2017</v>
      </c>
    </row>
    <row r="36" spans="1:6" x14ac:dyDescent="0.3">
      <c r="A36" t="s">
        <v>12</v>
      </c>
      <c r="B36" t="s">
        <v>10</v>
      </c>
      <c r="C36">
        <v>52.3</v>
      </c>
      <c r="D36">
        <v>78.599999999999994</v>
      </c>
      <c r="E36">
        <v>5</v>
      </c>
      <c r="F36">
        <v>2017</v>
      </c>
    </row>
    <row r="37" spans="1:6" x14ac:dyDescent="0.3">
      <c r="A37" t="s">
        <v>15</v>
      </c>
      <c r="B37" t="s">
        <v>5</v>
      </c>
      <c r="C37">
        <v>99.5</v>
      </c>
      <c r="D37">
        <v>56.5</v>
      </c>
      <c r="E37">
        <v>6</v>
      </c>
      <c r="F37">
        <v>2017</v>
      </c>
    </row>
    <row r="38" spans="1:6" x14ac:dyDescent="0.3">
      <c r="A38" t="s">
        <v>13</v>
      </c>
      <c r="B38" t="s">
        <v>17</v>
      </c>
      <c r="C38">
        <v>30.9</v>
      </c>
      <c r="D38">
        <v>71.400000000000006</v>
      </c>
      <c r="E38">
        <v>6</v>
      </c>
      <c r="F38">
        <v>2017</v>
      </c>
    </row>
    <row r="39" spans="1:6" x14ac:dyDescent="0.3">
      <c r="A39" t="s">
        <v>11</v>
      </c>
      <c r="B39" t="s">
        <v>18</v>
      </c>
      <c r="C39">
        <v>54.7</v>
      </c>
      <c r="D39">
        <v>63.9</v>
      </c>
      <c r="E39">
        <v>6</v>
      </c>
      <c r="F39">
        <v>2017</v>
      </c>
    </row>
    <row r="40" spans="1:6" x14ac:dyDescent="0.3">
      <c r="A40" t="s">
        <v>9</v>
      </c>
      <c r="B40" t="s">
        <v>16</v>
      </c>
      <c r="C40">
        <v>110.8</v>
      </c>
      <c r="D40">
        <v>80.900000000000006</v>
      </c>
      <c r="E40">
        <v>6</v>
      </c>
      <c r="F40">
        <v>2017</v>
      </c>
    </row>
    <row r="41" spans="1:6" x14ac:dyDescent="0.3">
      <c r="A41" t="s">
        <v>7</v>
      </c>
      <c r="B41" t="s">
        <v>14</v>
      </c>
      <c r="C41">
        <v>86.5</v>
      </c>
      <c r="D41">
        <v>53.6</v>
      </c>
      <c r="E41">
        <v>6</v>
      </c>
      <c r="F41">
        <v>2017</v>
      </c>
    </row>
    <row r="42" spans="1:6" x14ac:dyDescent="0.3">
      <c r="A42" t="s">
        <v>6</v>
      </c>
      <c r="B42" t="s">
        <v>12</v>
      </c>
      <c r="C42">
        <v>129.4</v>
      </c>
      <c r="D42">
        <v>97.8</v>
      </c>
      <c r="E42">
        <v>6</v>
      </c>
      <c r="F42">
        <v>2017</v>
      </c>
    </row>
    <row r="43" spans="1:6" x14ac:dyDescent="0.3">
      <c r="A43" t="s">
        <v>8</v>
      </c>
      <c r="B43" t="s">
        <v>10</v>
      </c>
      <c r="C43">
        <v>105.1</v>
      </c>
      <c r="D43">
        <v>89.2</v>
      </c>
      <c r="E43">
        <v>6</v>
      </c>
      <c r="F43">
        <v>2017</v>
      </c>
    </row>
    <row r="44" spans="1:6" x14ac:dyDescent="0.3">
      <c r="A44" t="s">
        <v>5</v>
      </c>
      <c r="B44" t="s">
        <v>17</v>
      </c>
      <c r="C44">
        <v>82.3</v>
      </c>
      <c r="D44">
        <v>93.2</v>
      </c>
      <c r="E44">
        <v>7</v>
      </c>
      <c r="F44">
        <v>2017</v>
      </c>
    </row>
    <row r="45" spans="1:6" x14ac:dyDescent="0.3">
      <c r="A45" t="s">
        <v>18</v>
      </c>
      <c r="B45" t="s">
        <v>15</v>
      </c>
      <c r="C45">
        <v>61</v>
      </c>
      <c r="D45">
        <v>115.6</v>
      </c>
      <c r="E45">
        <v>7</v>
      </c>
      <c r="F45">
        <v>2017</v>
      </c>
    </row>
    <row r="46" spans="1:6" x14ac:dyDescent="0.3">
      <c r="A46" t="s">
        <v>16</v>
      </c>
      <c r="B46" t="s">
        <v>13</v>
      </c>
      <c r="C46">
        <v>114</v>
      </c>
      <c r="D46">
        <v>81.599999999999994</v>
      </c>
      <c r="E46">
        <v>7</v>
      </c>
      <c r="F46">
        <v>2017</v>
      </c>
    </row>
    <row r="47" spans="1:6" x14ac:dyDescent="0.3">
      <c r="A47" t="s">
        <v>14</v>
      </c>
      <c r="B47" t="s">
        <v>11</v>
      </c>
      <c r="C47">
        <v>41.9</v>
      </c>
      <c r="D47">
        <v>112.9</v>
      </c>
      <c r="E47">
        <v>7</v>
      </c>
      <c r="F47">
        <v>2017</v>
      </c>
    </row>
    <row r="48" spans="1:6" x14ac:dyDescent="0.3">
      <c r="A48" t="s">
        <v>12</v>
      </c>
      <c r="B48" t="s">
        <v>9</v>
      </c>
      <c r="C48">
        <v>88.8</v>
      </c>
      <c r="D48">
        <v>44.4</v>
      </c>
      <c r="E48">
        <v>7</v>
      </c>
      <c r="F48">
        <v>2017</v>
      </c>
    </row>
    <row r="49" spans="1:6" x14ac:dyDescent="0.3">
      <c r="A49" t="s">
        <v>10</v>
      </c>
      <c r="B49" t="s">
        <v>7</v>
      </c>
      <c r="C49">
        <v>72.3</v>
      </c>
      <c r="D49">
        <v>87.8</v>
      </c>
      <c r="E49">
        <v>7</v>
      </c>
      <c r="F49">
        <v>2017</v>
      </c>
    </row>
    <row r="50" spans="1:6" x14ac:dyDescent="0.3">
      <c r="A50" t="s">
        <v>8</v>
      </c>
      <c r="B50" t="s">
        <v>6</v>
      </c>
      <c r="C50">
        <v>106.1</v>
      </c>
      <c r="D50">
        <v>82.1</v>
      </c>
      <c r="E50">
        <v>7</v>
      </c>
      <c r="F50">
        <v>2017</v>
      </c>
    </row>
    <row r="51" spans="1:6" x14ac:dyDescent="0.3">
      <c r="A51" t="s">
        <v>18</v>
      </c>
      <c r="B51" t="s">
        <v>5</v>
      </c>
      <c r="C51">
        <v>79</v>
      </c>
      <c r="D51">
        <v>73</v>
      </c>
      <c r="E51">
        <v>8</v>
      </c>
      <c r="F51">
        <v>2017</v>
      </c>
    </row>
    <row r="52" spans="1:6" x14ac:dyDescent="0.3">
      <c r="A52" t="s">
        <v>17</v>
      </c>
      <c r="B52" t="s">
        <v>16</v>
      </c>
      <c r="C52">
        <v>95.2</v>
      </c>
      <c r="D52">
        <v>74.599999999999994</v>
      </c>
      <c r="E52">
        <v>8</v>
      </c>
      <c r="F52">
        <v>2017</v>
      </c>
    </row>
    <row r="53" spans="1:6" x14ac:dyDescent="0.3">
      <c r="A53" t="s">
        <v>15</v>
      </c>
      <c r="B53" t="s">
        <v>14</v>
      </c>
      <c r="C53">
        <v>77.900000000000006</v>
      </c>
      <c r="D53">
        <v>64</v>
      </c>
      <c r="E53">
        <v>8</v>
      </c>
      <c r="F53">
        <v>2017</v>
      </c>
    </row>
    <row r="54" spans="1:6" x14ac:dyDescent="0.3">
      <c r="A54" t="s">
        <v>13</v>
      </c>
      <c r="B54" t="s">
        <v>12</v>
      </c>
      <c r="C54">
        <v>94.4</v>
      </c>
      <c r="D54">
        <v>93.2</v>
      </c>
      <c r="E54">
        <v>8</v>
      </c>
      <c r="F54">
        <v>2017</v>
      </c>
    </row>
    <row r="55" spans="1:6" x14ac:dyDescent="0.3">
      <c r="A55" t="s">
        <v>11</v>
      </c>
      <c r="B55" t="s">
        <v>10</v>
      </c>
      <c r="C55">
        <v>99.5</v>
      </c>
      <c r="D55">
        <v>70.3</v>
      </c>
      <c r="E55">
        <v>8</v>
      </c>
      <c r="F55">
        <v>2017</v>
      </c>
    </row>
    <row r="56" spans="1:6" x14ac:dyDescent="0.3">
      <c r="A56" t="s">
        <v>9</v>
      </c>
      <c r="B56" t="s">
        <v>8</v>
      </c>
      <c r="C56">
        <v>128.80000000000001</v>
      </c>
      <c r="D56">
        <v>65.2</v>
      </c>
      <c r="E56">
        <v>8</v>
      </c>
      <c r="F56">
        <v>2017</v>
      </c>
    </row>
    <row r="57" spans="1:6" x14ac:dyDescent="0.3">
      <c r="A57" t="s">
        <v>7</v>
      </c>
      <c r="B57" t="s">
        <v>6</v>
      </c>
      <c r="C57">
        <v>60.3</v>
      </c>
      <c r="D57">
        <v>91.8</v>
      </c>
      <c r="E57">
        <v>8</v>
      </c>
      <c r="F57">
        <v>2017</v>
      </c>
    </row>
    <row r="58" spans="1:6" x14ac:dyDescent="0.3">
      <c r="A58" t="s">
        <v>5</v>
      </c>
      <c r="B58" t="s">
        <v>16</v>
      </c>
      <c r="C58">
        <v>125.7</v>
      </c>
      <c r="D58">
        <v>98.3</v>
      </c>
      <c r="E58">
        <v>9</v>
      </c>
      <c r="F58">
        <v>2017</v>
      </c>
    </row>
    <row r="59" spans="1:6" x14ac:dyDescent="0.3">
      <c r="A59" t="s">
        <v>14</v>
      </c>
      <c r="B59" t="s">
        <v>18</v>
      </c>
      <c r="C59">
        <v>63.2</v>
      </c>
      <c r="D59">
        <v>62.4</v>
      </c>
      <c r="E59">
        <v>9</v>
      </c>
      <c r="F59">
        <v>2017</v>
      </c>
    </row>
    <row r="60" spans="1:6" x14ac:dyDescent="0.3">
      <c r="A60" t="s">
        <v>12</v>
      </c>
      <c r="B60" t="s">
        <v>17</v>
      </c>
      <c r="C60">
        <v>105.7</v>
      </c>
      <c r="D60">
        <v>90.3</v>
      </c>
      <c r="E60">
        <v>9</v>
      </c>
      <c r="F60">
        <v>2017</v>
      </c>
    </row>
    <row r="61" spans="1:6" x14ac:dyDescent="0.3">
      <c r="A61" t="s">
        <v>10</v>
      </c>
      <c r="B61" t="s">
        <v>15</v>
      </c>
      <c r="C61">
        <v>80.2</v>
      </c>
      <c r="D61">
        <v>90.1</v>
      </c>
      <c r="E61">
        <v>9</v>
      </c>
      <c r="F61">
        <v>2017</v>
      </c>
    </row>
    <row r="62" spans="1:6" x14ac:dyDescent="0.3">
      <c r="A62" t="s">
        <v>8</v>
      </c>
      <c r="B62" t="s">
        <v>13</v>
      </c>
      <c r="C62">
        <v>77.2</v>
      </c>
      <c r="D62">
        <v>60.5</v>
      </c>
      <c r="E62">
        <v>9</v>
      </c>
      <c r="F62">
        <v>2017</v>
      </c>
    </row>
    <row r="63" spans="1:6" x14ac:dyDescent="0.3">
      <c r="A63" t="s">
        <v>6</v>
      </c>
      <c r="B63" t="s">
        <v>11</v>
      </c>
      <c r="C63">
        <v>53.3</v>
      </c>
      <c r="D63">
        <v>102.6</v>
      </c>
      <c r="E63">
        <v>9</v>
      </c>
      <c r="F63">
        <v>2017</v>
      </c>
    </row>
    <row r="64" spans="1:6" x14ac:dyDescent="0.3">
      <c r="A64" t="s">
        <v>7</v>
      </c>
      <c r="B64" t="s">
        <v>9</v>
      </c>
      <c r="C64">
        <v>81.599999999999994</v>
      </c>
      <c r="D64">
        <v>75.7</v>
      </c>
      <c r="E64">
        <v>9</v>
      </c>
      <c r="F64">
        <v>2017</v>
      </c>
    </row>
  </sheetData>
  <dataConsolidate/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B3A35-9C45-4428-8699-FC1319FCFFF4}">
  <sheetPr codeName="Sheet3"/>
  <dimension ref="A1:T127"/>
  <sheetViews>
    <sheetView workbookViewId="0">
      <selection activeCell="U9" sqref="U9"/>
    </sheetView>
  </sheetViews>
  <sheetFormatPr defaultRowHeight="14.4" x14ac:dyDescent="0.3"/>
  <sheetData>
    <row r="1" spans="1:20" x14ac:dyDescent="0.3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</row>
    <row r="2" spans="1:20" x14ac:dyDescent="0.3">
      <c r="A2">
        <v>2017</v>
      </c>
      <c r="B2">
        <v>1</v>
      </c>
      <c r="C2" t="s">
        <v>13</v>
      </c>
      <c r="D2" t="s">
        <v>56</v>
      </c>
      <c r="E2">
        <v>-3</v>
      </c>
      <c r="F2" t="s">
        <v>57</v>
      </c>
      <c r="G2">
        <v>18.399999999999999</v>
      </c>
      <c r="H2" t="s">
        <v>58</v>
      </c>
      <c r="I2">
        <v>17.3</v>
      </c>
      <c r="J2" t="s">
        <v>59</v>
      </c>
      <c r="K2">
        <v>12</v>
      </c>
      <c r="L2" t="s">
        <v>60</v>
      </c>
      <c r="M2">
        <v>8.5</v>
      </c>
      <c r="N2" t="s">
        <v>61</v>
      </c>
      <c r="O2">
        <v>8.1</v>
      </c>
      <c r="P2" t="s">
        <v>62</v>
      </c>
      <c r="Q2">
        <v>1.1000000000000001</v>
      </c>
      <c r="R2" t="s">
        <v>218</v>
      </c>
      <c r="S2" t="s">
        <v>73</v>
      </c>
      <c r="T2">
        <v>3</v>
      </c>
    </row>
    <row r="3" spans="1:20" x14ac:dyDescent="0.3">
      <c r="A3">
        <v>2017</v>
      </c>
      <c r="B3">
        <v>2</v>
      </c>
      <c r="C3" t="s">
        <v>13</v>
      </c>
      <c r="D3" t="s">
        <v>63</v>
      </c>
      <c r="E3">
        <v>12.5</v>
      </c>
      <c r="F3" t="s">
        <v>57</v>
      </c>
      <c r="G3">
        <v>7.3</v>
      </c>
      <c r="H3" t="s">
        <v>58</v>
      </c>
      <c r="I3">
        <v>26</v>
      </c>
      <c r="J3" t="s">
        <v>59</v>
      </c>
      <c r="K3">
        <v>14.5</v>
      </c>
      <c r="L3" t="s">
        <v>60</v>
      </c>
      <c r="M3">
        <v>4</v>
      </c>
      <c r="N3" t="s">
        <v>61</v>
      </c>
      <c r="O3">
        <v>4.5</v>
      </c>
      <c r="P3" t="s">
        <v>62</v>
      </c>
      <c r="Q3">
        <v>1.1000000000000001</v>
      </c>
      <c r="R3" t="s">
        <v>218</v>
      </c>
      <c r="S3" t="s">
        <v>73</v>
      </c>
      <c r="T3">
        <v>7.8</v>
      </c>
    </row>
    <row r="4" spans="1:20" x14ac:dyDescent="0.3">
      <c r="A4">
        <v>2017</v>
      </c>
      <c r="B4">
        <v>3</v>
      </c>
      <c r="C4" t="s">
        <v>13</v>
      </c>
      <c r="D4" t="s">
        <v>63</v>
      </c>
      <c r="E4">
        <v>15.5</v>
      </c>
      <c r="F4" t="s">
        <v>57</v>
      </c>
      <c r="G4">
        <v>10.4</v>
      </c>
      <c r="H4" t="s">
        <v>58</v>
      </c>
      <c r="I4">
        <v>9</v>
      </c>
      <c r="J4" t="s">
        <v>59</v>
      </c>
      <c r="K4">
        <v>8.6</v>
      </c>
      <c r="L4" t="s">
        <v>60</v>
      </c>
      <c r="M4">
        <v>22.8</v>
      </c>
      <c r="N4" t="s">
        <v>61</v>
      </c>
      <c r="O4">
        <v>12.3</v>
      </c>
      <c r="P4" t="s">
        <v>62</v>
      </c>
      <c r="Q4">
        <v>8.4</v>
      </c>
      <c r="R4" t="s">
        <v>64</v>
      </c>
      <c r="S4" t="s">
        <v>65</v>
      </c>
      <c r="T4">
        <v>7.6</v>
      </c>
    </row>
    <row r="5" spans="1:20" x14ac:dyDescent="0.3">
      <c r="A5">
        <v>2017</v>
      </c>
      <c r="B5">
        <v>4</v>
      </c>
      <c r="C5" t="s">
        <v>13</v>
      </c>
      <c r="D5" t="s">
        <v>56</v>
      </c>
      <c r="E5">
        <v>28.3</v>
      </c>
      <c r="F5" t="s">
        <v>57</v>
      </c>
      <c r="G5">
        <v>12.3</v>
      </c>
      <c r="H5" t="s">
        <v>58</v>
      </c>
      <c r="I5">
        <v>2.8</v>
      </c>
      <c r="J5" t="s">
        <v>59</v>
      </c>
      <c r="K5">
        <v>16.3</v>
      </c>
      <c r="L5" t="s">
        <v>60</v>
      </c>
      <c r="M5">
        <v>7.9</v>
      </c>
      <c r="N5" t="s">
        <v>61</v>
      </c>
      <c r="O5">
        <v>6.1</v>
      </c>
      <c r="P5" t="s">
        <v>62</v>
      </c>
      <c r="Q5">
        <v>8.6999999999999993</v>
      </c>
      <c r="R5" t="s">
        <v>219</v>
      </c>
      <c r="S5" t="s">
        <v>65</v>
      </c>
      <c r="T5">
        <v>0</v>
      </c>
    </row>
    <row r="6" spans="1:20" x14ac:dyDescent="0.3">
      <c r="A6">
        <v>2017</v>
      </c>
      <c r="B6">
        <v>5</v>
      </c>
      <c r="C6" t="s">
        <v>13</v>
      </c>
      <c r="D6" t="s">
        <v>63</v>
      </c>
      <c r="E6">
        <v>18.5</v>
      </c>
      <c r="F6" t="s">
        <v>57</v>
      </c>
      <c r="G6">
        <v>11.9</v>
      </c>
      <c r="H6" t="s">
        <v>236</v>
      </c>
      <c r="I6">
        <v>0.1</v>
      </c>
      <c r="J6" t="s">
        <v>59</v>
      </c>
      <c r="K6">
        <v>8.6999999999999993</v>
      </c>
      <c r="L6" t="s">
        <v>60</v>
      </c>
      <c r="M6">
        <v>1.4</v>
      </c>
      <c r="N6" t="s">
        <v>61</v>
      </c>
      <c r="O6">
        <v>2</v>
      </c>
      <c r="P6" t="s">
        <v>62</v>
      </c>
      <c r="Q6">
        <v>7.1</v>
      </c>
      <c r="R6" t="s">
        <v>237</v>
      </c>
      <c r="S6" t="s">
        <v>65</v>
      </c>
      <c r="T6">
        <v>9.6</v>
      </c>
    </row>
    <row r="7" spans="1:20" x14ac:dyDescent="0.3">
      <c r="A7">
        <v>2017</v>
      </c>
      <c r="B7">
        <v>6</v>
      </c>
      <c r="C7" t="s">
        <v>13</v>
      </c>
      <c r="D7" t="s">
        <v>63</v>
      </c>
      <c r="E7">
        <v>2.4</v>
      </c>
      <c r="F7" t="s">
        <v>58</v>
      </c>
      <c r="G7">
        <v>3.6</v>
      </c>
      <c r="H7" t="s">
        <v>218</v>
      </c>
      <c r="I7">
        <v>0</v>
      </c>
      <c r="J7" t="s">
        <v>59</v>
      </c>
      <c r="K7">
        <v>7</v>
      </c>
      <c r="L7" t="s">
        <v>237</v>
      </c>
      <c r="M7">
        <v>0</v>
      </c>
      <c r="N7" t="s">
        <v>61</v>
      </c>
      <c r="O7">
        <v>2.4</v>
      </c>
      <c r="P7" t="s">
        <v>62</v>
      </c>
      <c r="Q7">
        <v>13.9</v>
      </c>
      <c r="R7" t="s">
        <v>219</v>
      </c>
      <c r="S7" t="s">
        <v>65</v>
      </c>
      <c r="T7">
        <v>1.6</v>
      </c>
    </row>
    <row r="8" spans="1:20" x14ac:dyDescent="0.3">
      <c r="A8">
        <v>2017</v>
      </c>
      <c r="B8">
        <v>7</v>
      </c>
      <c r="C8" t="s">
        <v>13</v>
      </c>
      <c r="D8" t="s">
        <v>63</v>
      </c>
      <c r="E8">
        <v>23.4</v>
      </c>
      <c r="F8" t="s">
        <v>57</v>
      </c>
      <c r="G8">
        <v>24.7</v>
      </c>
      <c r="H8" t="s">
        <v>58</v>
      </c>
      <c r="I8">
        <v>2</v>
      </c>
      <c r="J8" t="s">
        <v>59</v>
      </c>
      <c r="K8">
        <v>5.6</v>
      </c>
      <c r="L8" t="s">
        <v>60</v>
      </c>
      <c r="M8">
        <v>0</v>
      </c>
      <c r="N8" t="s">
        <v>61</v>
      </c>
      <c r="O8">
        <v>13.7</v>
      </c>
      <c r="P8" t="s">
        <v>62</v>
      </c>
      <c r="Q8">
        <v>8.3000000000000007</v>
      </c>
      <c r="R8" t="s">
        <v>218</v>
      </c>
      <c r="S8" t="s">
        <v>73</v>
      </c>
      <c r="T8">
        <v>4</v>
      </c>
    </row>
    <row r="9" spans="1:20" x14ac:dyDescent="0.3">
      <c r="A9">
        <v>2017</v>
      </c>
      <c r="B9">
        <v>8</v>
      </c>
      <c r="C9" t="s">
        <v>13</v>
      </c>
      <c r="D9" t="s">
        <v>56</v>
      </c>
      <c r="E9">
        <v>18.7</v>
      </c>
      <c r="F9" t="s">
        <v>57</v>
      </c>
      <c r="G9">
        <v>26.3</v>
      </c>
      <c r="H9" t="s">
        <v>275</v>
      </c>
      <c r="I9">
        <v>16.8</v>
      </c>
      <c r="J9" t="s">
        <v>59</v>
      </c>
      <c r="K9">
        <v>8.1</v>
      </c>
      <c r="L9" t="s">
        <v>219</v>
      </c>
      <c r="M9">
        <v>0</v>
      </c>
      <c r="N9" t="s">
        <v>61</v>
      </c>
      <c r="O9">
        <v>7.7</v>
      </c>
      <c r="P9" t="s">
        <v>62</v>
      </c>
      <c r="Q9">
        <v>8.9</v>
      </c>
      <c r="R9" t="s">
        <v>218</v>
      </c>
      <c r="S9" t="s">
        <v>73</v>
      </c>
      <c r="T9">
        <v>7.9</v>
      </c>
    </row>
    <row r="10" spans="1:20" x14ac:dyDescent="0.3">
      <c r="A10">
        <v>2017</v>
      </c>
      <c r="B10">
        <v>9</v>
      </c>
      <c r="C10" t="s">
        <v>13</v>
      </c>
      <c r="D10" t="s">
        <v>63</v>
      </c>
      <c r="E10">
        <v>3.5</v>
      </c>
      <c r="F10" t="s">
        <v>57</v>
      </c>
      <c r="G10">
        <v>2.5</v>
      </c>
      <c r="H10" t="s">
        <v>58</v>
      </c>
      <c r="I10">
        <v>5.6</v>
      </c>
      <c r="J10" t="s">
        <v>60</v>
      </c>
      <c r="K10">
        <v>9.5</v>
      </c>
      <c r="L10" t="s">
        <v>295</v>
      </c>
      <c r="M10">
        <v>7.8</v>
      </c>
      <c r="N10" t="s">
        <v>61</v>
      </c>
      <c r="O10">
        <v>16.600000000000001</v>
      </c>
      <c r="P10" t="s">
        <v>133</v>
      </c>
      <c r="Q10">
        <v>1.3</v>
      </c>
      <c r="R10" t="s">
        <v>218</v>
      </c>
      <c r="S10" t="s">
        <v>73</v>
      </c>
      <c r="T10">
        <v>13.8</v>
      </c>
    </row>
    <row r="11" spans="1:20" x14ac:dyDescent="0.3">
      <c r="A11">
        <v>2017</v>
      </c>
      <c r="B11">
        <v>1</v>
      </c>
      <c r="C11" t="s">
        <v>11</v>
      </c>
      <c r="D11" t="s">
        <v>66</v>
      </c>
      <c r="E11">
        <v>8.3000000000000007</v>
      </c>
      <c r="F11" t="s">
        <v>276</v>
      </c>
      <c r="G11">
        <v>18.100000000000001</v>
      </c>
      <c r="H11" t="s">
        <v>67</v>
      </c>
      <c r="I11">
        <v>10</v>
      </c>
      <c r="J11" t="s">
        <v>68</v>
      </c>
      <c r="K11">
        <v>5.3</v>
      </c>
      <c r="L11" t="s">
        <v>69</v>
      </c>
      <c r="M11">
        <v>2.2000000000000002</v>
      </c>
      <c r="N11" t="s">
        <v>70</v>
      </c>
      <c r="O11">
        <v>6.9</v>
      </c>
      <c r="P11" t="s">
        <v>71</v>
      </c>
      <c r="Q11">
        <v>13.2</v>
      </c>
      <c r="R11" t="s">
        <v>72</v>
      </c>
      <c r="S11" t="s">
        <v>73</v>
      </c>
      <c r="T11">
        <v>14</v>
      </c>
    </row>
    <row r="12" spans="1:20" x14ac:dyDescent="0.3">
      <c r="A12">
        <v>2017</v>
      </c>
      <c r="B12">
        <v>2</v>
      </c>
      <c r="C12" t="s">
        <v>11</v>
      </c>
      <c r="D12" t="s">
        <v>66</v>
      </c>
      <c r="E12">
        <v>15.3</v>
      </c>
      <c r="F12" t="s">
        <v>276</v>
      </c>
      <c r="G12">
        <v>25.1</v>
      </c>
      <c r="H12" t="s">
        <v>72</v>
      </c>
      <c r="I12">
        <v>11.5</v>
      </c>
      <c r="J12" t="s">
        <v>68</v>
      </c>
      <c r="K12">
        <v>15.4</v>
      </c>
      <c r="L12" t="s">
        <v>74</v>
      </c>
      <c r="M12">
        <v>4.0999999999999996</v>
      </c>
      <c r="N12" t="s">
        <v>70</v>
      </c>
      <c r="O12">
        <v>20.3</v>
      </c>
      <c r="P12" t="s">
        <v>71</v>
      </c>
      <c r="Q12">
        <v>9</v>
      </c>
      <c r="R12" t="s">
        <v>220</v>
      </c>
      <c r="S12" t="s">
        <v>65</v>
      </c>
      <c r="T12">
        <v>0.9</v>
      </c>
    </row>
    <row r="13" spans="1:20" x14ac:dyDescent="0.3">
      <c r="A13">
        <v>2017</v>
      </c>
      <c r="B13">
        <v>3</v>
      </c>
      <c r="C13" t="s">
        <v>11</v>
      </c>
      <c r="D13" t="s">
        <v>66</v>
      </c>
      <c r="E13">
        <v>33.5</v>
      </c>
      <c r="F13" t="s">
        <v>276</v>
      </c>
      <c r="G13">
        <v>35.4</v>
      </c>
      <c r="H13" t="s">
        <v>75</v>
      </c>
      <c r="I13">
        <v>1.3</v>
      </c>
      <c r="J13" t="s">
        <v>68</v>
      </c>
      <c r="K13">
        <v>8.1999999999999993</v>
      </c>
      <c r="L13" t="s">
        <v>74</v>
      </c>
      <c r="M13">
        <v>17.7</v>
      </c>
      <c r="N13" t="s">
        <v>70</v>
      </c>
      <c r="O13">
        <v>0.6</v>
      </c>
      <c r="P13" t="s">
        <v>76</v>
      </c>
      <c r="Q13">
        <v>6.1</v>
      </c>
      <c r="R13" t="s">
        <v>221</v>
      </c>
      <c r="S13" t="s">
        <v>65</v>
      </c>
      <c r="T13">
        <v>7.6</v>
      </c>
    </row>
    <row r="14" spans="1:20" x14ac:dyDescent="0.3">
      <c r="A14">
        <v>2017</v>
      </c>
      <c r="B14">
        <v>4</v>
      </c>
      <c r="C14" t="s">
        <v>11</v>
      </c>
      <c r="D14" t="s">
        <v>66</v>
      </c>
      <c r="E14">
        <v>27.6</v>
      </c>
      <c r="F14" t="s">
        <v>276</v>
      </c>
      <c r="G14">
        <v>31</v>
      </c>
      <c r="H14" t="s">
        <v>72</v>
      </c>
      <c r="I14">
        <v>-0.7</v>
      </c>
      <c r="J14" t="s">
        <v>68</v>
      </c>
      <c r="K14">
        <v>12.3</v>
      </c>
      <c r="L14" t="s">
        <v>74</v>
      </c>
      <c r="M14">
        <v>5.6</v>
      </c>
      <c r="N14" t="s">
        <v>70</v>
      </c>
      <c r="O14">
        <v>20.9</v>
      </c>
      <c r="P14" t="s">
        <v>76</v>
      </c>
      <c r="Q14">
        <v>10.6</v>
      </c>
      <c r="R14" t="s">
        <v>221</v>
      </c>
      <c r="S14" t="s">
        <v>65</v>
      </c>
      <c r="T14">
        <v>8</v>
      </c>
    </row>
    <row r="15" spans="1:20" x14ac:dyDescent="0.3">
      <c r="A15">
        <v>2017</v>
      </c>
      <c r="B15">
        <v>5</v>
      </c>
      <c r="C15" t="s">
        <v>11</v>
      </c>
      <c r="D15" t="s">
        <v>66</v>
      </c>
      <c r="E15">
        <v>11.5</v>
      </c>
      <c r="F15" t="s">
        <v>276</v>
      </c>
      <c r="G15">
        <v>4</v>
      </c>
      <c r="H15" t="s">
        <v>238</v>
      </c>
      <c r="I15">
        <v>5.3</v>
      </c>
      <c r="J15" t="s">
        <v>68</v>
      </c>
      <c r="K15">
        <v>13.7</v>
      </c>
      <c r="L15" t="s">
        <v>74</v>
      </c>
      <c r="M15">
        <v>13.4</v>
      </c>
      <c r="N15" t="s">
        <v>70</v>
      </c>
      <c r="O15">
        <v>13.8</v>
      </c>
      <c r="P15" t="s">
        <v>130</v>
      </c>
      <c r="Q15">
        <v>4.9000000000000004</v>
      </c>
      <c r="R15" t="s">
        <v>239</v>
      </c>
      <c r="S15" t="s">
        <v>65</v>
      </c>
      <c r="T15">
        <v>14.8</v>
      </c>
    </row>
    <row r="16" spans="1:20" x14ac:dyDescent="0.3">
      <c r="A16">
        <v>2017</v>
      </c>
      <c r="B16">
        <v>6</v>
      </c>
      <c r="C16" t="s">
        <v>11</v>
      </c>
      <c r="D16" t="s">
        <v>264</v>
      </c>
      <c r="E16">
        <v>14.3</v>
      </c>
      <c r="F16" t="s">
        <v>276</v>
      </c>
      <c r="G16">
        <v>12.5</v>
      </c>
      <c r="H16" t="s">
        <v>265</v>
      </c>
      <c r="I16">
        <v>0</v>
      </c>
      <c r="J16" t="s">
        <v>74</v>
      </c>
      <c r="K16">
        <v>8</v>
      </c>
      <c r="L16" t="s">
        <v>239</v>
      </c>
      <c r="M16">
        <v>5.0999999999999996</v>
      </c>
      <c r="N16" t="s">
        <v>70</v>
      </c>
      <c r="O16">
        <v>5.7</v>
      </c>
      <c r="P16" t="s">
        <v>266</v>
      </c>
      <c r="Q16">
        <v>4.5</v>
      </c>
      <c r="R16" t="s">
        <v>267</v>
      </c>
      <c r="S16" t="s">
        <v>73</v>
      </c>
      <c r="T16">
        <v>4.5999999999999996</v>
      </c>
    </row>
    <row r="17" spans="1:20" x14ac:dyDescent="0.3">
      <c r="A17">
        <v>2017</v>
      </c>
      <c r="B17">
        <v>7</v>
      </c>
      <c r="C17" t="s">
        <v>11</v>
      </c>
      <c r="D17" t="s">
        <v>66</v>
      </c>
      <c r="E17">
        <v>26.4</v>
      </c>
      <c r="F17" t="s">
        <v>276</v>
      </c>
      <c r="G17">
        <v>23.4</v>
      </c>
      <c r="H17" t="s">
        <v>238</v>
      </c>
      <c r="I17">
        <v>17.3</v>
      </c>
      <c r="J17" t="s">
        <v>68</v>
      </c>
      <c r="K17">
        <v>15.8</v>
      </c>
      <c r="L17" t="s">
        <v>74</v>
      </c>
      <c r="M17">
        <v>7.4</v>
      </c>
      <c r="N17" t="s">
        <v>70</v>
      </c>
      <c r="O17">
        <v>11.3</v>
      </c>
      <c r="P17" t="s">
        <v>95</v>
      </c>
      <c r="Q17">
        <v>5.3</v>
      </c>
      <c r="R17" t="s">
        <v>239</v>
      </c>
      <c r="S17" t="s">
        <v>65</v>
      </c>
      <c r="T17">
        <v>6.1</v>
      </c>
    </row>
    <row r="18" spans="1:20" x14ac:dyDescent="0.3">
      <c r="A18">
        <v>2017</v>
      </c>
      <c r="B18">
        <v>8</v>
      </c>
      <c r="C18" t="s">
        <v>11</v>
      </c>
      <c r="D18" t="s">
        <v>66</v>
      </c>
      <c r="E18">
        <v>35.1</v>
      </c>
      <c r="F18" t="s">
        <v>238</v>
      </c>
      <c r="G18">
        <v>5.2</v>
      </c>
      <c r="H18" t="s">
        <v>75</v>
      </c>
      <c r="I18">
        <v>6.1</v>
      </c>
      <c r="J18" t="s">
        <v>68</v>
      </c>
      <c r="K18">
        <v>5.9</v>
      </c>
      <c r="L18" t="s">
        <v>239</v>
      </c>
      <c r="M18">
        <v>2.1</v>
      </c>
      <c r="N18" t="s">
        <v>70</v>
      </c>
      <c r="O18">
        <v>22.8</v>
      </c>
      <c r="P18" t="s">
        <v>95</v>
      </c>
      <c r="Q18">
        <v>19.600000000000001</v>
      </c>
      <c r="R18" t="s">
        <v>74</v>
      </c>
      <c r="S18" t="s">
        <v>65</v>
      </c>
      <c r="T18">
        <v>2.7</v>
      </c>
    </row>
    <row r="19" spans="1:20" x14ac:dyDescent="0.3">
      <c r="A19">
        <v>2017</v>
      </c>
      <c r="B19">
        <v>9</v>
      </c>
      <c r="C19" t="s">
        <v>11</v>
      </c>
      <c r="D19" t="s">
        <v>66</v>
      </c>
      <c r="E19">
        <v>23.6</v>
      </c>
      <c r="F19" t="s">
        <v>276</v>
      </c>
      <c r="G19">
        <v>23.4</v>
      </c>
      <c r="H19" t="s">
        <v>202</v>
      </c>
      <c r="I19">
        <v>3.9</v>
      </c>
      <c r="J19" t="s">
        <v>68</v>
      </c>
      <c r="K19">
        <v>10.3</v>
      </c>
      <c r="L19" t="s">
        <v>239</v>
      </c>
      <c r="M19">
        <v>11.1</v>
      </c>
      <c r="N19" t="s">
        <v>70</v>
      </c>
      <c r="O19">
        <v>16.8</v>
      </c>
      <c r="P19" t="s">
        <v>95</v>
      </c>
      <c r="Q19">
        <v>9.8000000000000007</v>
      </c>
      <c r="R19" t="s">
        <v>220</v>
      </c>
      <c r="S19" t="s">
        <v>65</v>
      </c>
      <c r="T19">
        <v>3.8</v>
      </c>
    </row>
    <row r="20" spans="1:20" x14ac:dyDescent="0.3">
      <c r="A20">
        <v>2017</v>
      </c>
      <c r="B20">
        <v>1</v>
      </c>
      <c r="C20" t="s">
        <v>8</v>
      </c>
      <c r="D20" t="s">
        <v>77</v>
      </c>
      <c r="E20">
        <v>13.1</v>
      </c>
      <c r="F20" t="s">
        <v>78</v>
      </c>
      <c r="G20">
        <v>7</v>
      </c>
      <c r="H20" t="s">
        <v>79</v>
      </c>
      <c r="I20">
        <v>43.1</v>
      </c>
      <c r="J20" t="s">
        <v>80</v>
      </c>
      <c r="K20">
        <v>9.1999999999999993</v>
      </c>
      <c r="L20" t="s">
        <v>81</v>
      </c>
      <c r="M20">
        <v>12.6</v>
      </c>
      <c r="N20" t="s">
        <v>82</v>
      </c>
      <c r="O20">
        <v>15.4</v>
      </c>
      <c r="P20" t="s">
        <v>83</v>
      </c>
      <c r="Q20">
        <v>28.8</v>
      </c>
      <c r="R20" t="s">
        <v>84</v>
      </c>
      <c r="S20" t="s">
        <v>73</v>
      </c>
      <c r="T20">
        <v>19.899999999999999</v>
      </c>
    </row>
    <row r="21" spans="1:20" x14ac:dyDescent="0.3">
      <c r="A21">
        <v>2017</v>
      </c>
      <c r="B21">
        <v>2</v>
      </c>
      <c r="C21" t="s">
        <v>8</v>
      </c>
      <c r="D21" t="s">
        <v>77</v>
      </c>
      <c r="E21">
        <v>11.8</v>
      </c>
      <c r="F21" t="s">
        <v>84</v>
      </c>
      <c r="G21">
        <v>13.1</v>
      </c>
      <c r="H21" t="s">
        <v>79</v>
      </c>
      <c r="I21">
        <v>24.4</v>
      </c>
      <c r="J21" t="s">
        <v>80</v>
      </c>
      <c r="K21">
        <v>10.1</v>
      </c>
      <c r="L21" t="s">
        <v>81</v>
      </c>
      <c r="M21">
        <v>11.1</v>
      </c>
      <c r="N21" t="s">
        <v>85</v>
      </c>
      <c r="O21">
        <v>10.8</v>
      </c>
      <c r="P21" t="s">
        <v>83</v>
      </c>
      <c r="Q21">
        <v>-0.7</v>
      </c>
      <c r="R21" t="s">
        <v>78</v>
      </c>
      <c r="S21" t="s">
        <v>73</v>
      </c>
      <c r="T21">
        <v>3.3</v>
      </c>
    </row>
    <row r="22" spans="1:20" x14ac:dyDescent="0.3">
      <c r="A22">
        <v>2017</v>
      </c>
      <c r="B22">
        <v>3</v>
      </c>
      <c r="C22" t="s">
        <v>8</v>
      </c>
      <c r="D22" t="s">
        <v>77</v>
      </c>
      <c r="E22">
        <v>8.3000000000000007</v>
      </c>
      <c r="F22" t="s">
        <v>84</v>
      </c>
      <c r="G22">
        <v>15.5</v>
      </c>
      <c r="H22" t="s">
        <v>79</v>
      </c>
      <c r="I22">
        <v>24.8</v>
      </c>
      <c r="J22" t="s">
        <v>80</v>
      </c>
      <c r="K22">
        <v>12.8</v>
      </c>
      <c r="L22" t="s">
        <v>81</v>
      </c>
      <c r="M22">
        <v>1.3</v>
      </c>
      <c r="N22" t="s">
        <v>82</v>
      </c>
      <c r="O22">
        <v>0.8</v>
      </c>
      <c r="P22" t="s">
        <v>83</v>
      </c>
      <c r="Q22">
        <v>13.2</v>
      </c>
      <c r="R22" t="s">
        <v>86</v>
      </c>
      <c r="S22" t="s">
        <v>65</v>
      </c>
      <c r="T22">
        <v>17.600000000000001</v>
      </c>
    </row>
    <row r="23" spans="1:20" x14ac:dyDescent="0.3">
      <c r="A23">
        <v>2017</v>
      </c>
      <c r="B23">
        <v>4</v>
      </c>
      <c r="C23" t="s">
        <v>8</v>
      </c>
      <c r="D23" t="s">
        <v>87</v>
      </c>
      <c r="E23">
        <v>27.3</v>
      </c>
      <c r="F23" t="s">
        <v>84</v>
      </c>
      <c r="G23">
        <v>22.5</v>
      </c>
      <c r="H23" t="s">
        <v>79</v>
      </c>
      <c r="I23">
        <v>14.1</v>
      </c>
      <c r="J23" t="s">
        <v>80</v>
      </c>
      <c r="K23">
        <v>1.6</v>
      </c>
      <c r="L23" t="s">
        <v>86</v>
      </c>
      <c r="M23">
        <v>9.9</v>
      </c>
      <c r="N23" t="s">
        <v>82</v>
      </c>
      <c r="O23">
        <v>1.4</v>
      </c>
      <c r="P23" t="s">
        <v>83</v>
      </c>
      <c r="Q23">
        <v>11.9</v>
      </c>
      <c r="R23" t="s">
        <v>88</v>
      </c>
      <c r="S23" t="s">
        <v>73</v>
      </c>
      <c r="T23">
        <v>8.1999999999999993</v>
      </c>
    </row>
    <row r="24" spans="1:20" x14ac:dyDescent="0.3">
      <c r="A24">
        <v>2017</v>
      </c>
      <c r="B24">
        <v>5</v>
      </c>
      <c r="C24" t="s">
        <v>8</v>
      </c>
      <c r="D24" t="s">
        <v>77</v>
      </c>
      <c r="E24">
        <v>26.2</v>
      </c>
      <c r="F24" t="s">
        <v>84</v>
      </c>
      <c r="G24">
        <v>30.9</v>
      </c>
      <c r="H24" t="s">
        <v>79</v>
      </c>
      <c r="I24">
        <v>13.1</v>
      </c>
      <c r="J24" t="s">
        <v>81</v>
      </c>
      <c r="K24">
        <v>7.3</v>
      </c>
      <c r="L24" t="s">
        <v>86</v>
      </c>
      <c r="M24">
        <v>1.1000000000000001</v>
      </c>
      <c r="N24" t="s">
        <v>82</v>
      </c>
      <c r="O24">
        <v>8.1</v>
      </c>
      <c r="P24" t="s">
        <v>83</v>
      </c>
      <c r="Q24">
        <v>25.1</v>
      </c>
      <c r="R24" t="s">
        <v>78</v>
      </c>
      <c r="S24" t="s">
        <v>73</v>
      </c>
      <c r="T24">
        <v>6.9</v>
      </c>
    </row>
    <row r="25" spans="1:20" x14ac:dyDescent="0.3">
      <c r="A25">
        <v>2017</v>
      </c>
      <c r="B25">
        <v>6</v>
      </c>
      <c r="C25" t="s">
        <v>8</v>
      </c>
      <c r="D25" t="s">
        <v>87</v>
      </c>
      <c r="E25">
        <v>15.1</v>
      </c>
      <c r="F25" t="s">
        <v>84</v>
      </c>
      <c r="G25">
        <v>20.8</v>
      </c>
      <c r="H25" t="s">
        <v>79</v>
      </c>
      <c r="I25">
        <v>13.5</v>
      </c>
      <c r="J25" t="s">
        <v>80</v>
      </c>
      <c r="K25">
        <v>16.3</v>
      </c>
      <c r="L25" t="s">
        <v>181</v>
      </c>
      <c r="M25">
        <v>17</v>
      </c>
      <c r="N25" t="s">
        <v>85</v>
      </c>
      <c r="O25">
        <v>0</v>
      </c>
      <c r="P25" t="s">
        <v>83</v>
      </c>
      <c r="Q25">
        <v>5.7</v>
      </c>
      <c r="R25" t="s">
        <v>78</v>
      </c>
      <c r="S25" t="s">
        <v>73</v>
      </c>
      <c r="T25">
        <v>16.7</v>
      </c>
    </row>
    <row r="26" spans="1:20" x14ac:dyDescent="0.3">
      <c r="A26">
        <v>2017</v>
      </c>
      <c r="B26">
        <v>7</v>
      </c>
      <c r="C26" t="s">
        <v>8</v>
      </c>
      <c r="D26" t="s">
        <v>87</v>
      </c>
      <c r="E26">
        <v>25.7</v>
      </c>
      <c r="F26" t="s">
        <v>79</v>
      </c>
      <c r="G26">
        <v>13.7</v>
      </c>
      <c r="H26" t="s">
        <v>277</v>
      </c>
      <c r="I26">
        <v>8.6999999999999993</v>
      </c>
      <c r="J26" t="s">
        <v>80</v>
      </c>
      <c r="K26">
        <v>1.9</v>
      </c>
      <c r="L26" t="s">
        <v>181</v>
      </c>
      <c r="M26">
        <v>18.3</v>
      </c>
      <c r="N26" t="s">
        <v>82</v>
      </c>
      <c r="O26">
        <v>13.4</v>
      </c>
      <c r="P26" t="s">
        <v>83</v>
      </c>
      <c r="Q26">
        <v>15.4</v>
      </c>
      <c r="R26" t="s">
        <v>78</v>
      </c>
      <c r="S26" t="s">
        <v>73</v>
      </c>
      <c r="T26">
        <v>9.1</v>
      </c>
    </row>
    <row r="27" spans="1:20" x14ac:dyDescent="0.3">
      <c r="A27">
        <v>2017</v>
      </c>
      <c r="B27">
        <v>8</v>
      </c>
      <c r="C27" t="s">
        <v>8</v>
      </c>
      <c r="D27" t="s">
        <v>87</v>
      </c>
      <c r="E27">
        <v>13.4</v>
      </c>
      <c r="F27" t="s">
        <v>79</v>
      </c>
      <c r="G27">
        <v>8.3000000000000007</v>
      </c>
      <c r="H27" t="s">
        <v>279</v>
      </c>
      <c r="I27">
        <v>7.3</v>
      </c>
      <c r="J27" t="s">
        <v>80</v>
      </c>
      <c r="K27">
        <v>9.1</v>
      </c>
      <c r="L27" t="s">
        <v>181</v>
      </c>
      <c r="M27">
        <v>8.5</v>
      </c>
      <c r="N27" t="s">
        <v>82</v>
      </c>
      <c r="O27">
        <v>4.5999999999999996</v>
      </c>
      <c r="P27" t="s">
        <v>268</v>
      </c>
      <c r="Q27">
        <v>6.2</v>
      </c>
      <c r="R27" t="s">
        <v>278</v>
      </c>
      <c r="S27" t="s">
        <v>65</v>
      </c>
      <c r="T27">
        <v>7.8</v>
      </c>
    </row>
    <row r="28" spans="1:20" x14ac:dyDescent="0.3">
      <c r="A28">
        <v>2017</v>
      </c>
      <c r="B28">
        <v>9</v>
      </c>
      <c r="C28" t="s">
        <v>8</v>
      </c>
      <c r="D28" t="s">
        <v>87</v>
      </c>
      <c r="E28">
        <v>18.399999999999999</v>
      </c>
      <c r="F28" t="s">
        <v>78</v>
      </c>
      <c r="G28">
        <v>5.0999999999999996</v>
      </c>
      <c r="H28" t="s">
        <v>277</v>
      </c>
      <c r="I28">
        <v>11.9</v>
      </c>
      <c r="J28" t="s">
        <v>80</v>
      </c>
      <c r="K28">
        <v>17</v>
      </c>
      <c r="L28" t="s">
        <v>181</v>
      </c>
      <c r="M28">
        <v>1.8</v>
      </c>
      <c r="N28" t="s">
        <v>82</v>
      </c>
      <c r="O28">
        <v>1</v>
      </c>
      <c r="P28" t="s">
        <v>83</v>
      </c>
      <c r="Q28">
        <v>13.9</v>
      </c>
      <c r="R28" t="s">
        <v>79</v>
      </c>
      <c r="S28" t="s">
        <v>73</v>
      </c>
      <c r="T28">
        <v>8.1</v>
      </c>
    </row>
    <row r="29" spans="1:20" x14ac:dyDescent="0.3">
      <c r="A29">
        <v>2017</v>
      </c>
      <c r="B29">
        <v>1</v>
      </c>
      <c r="C29" t="s">
        <v>18</v>
      </c>
      <c r="D29" t="s">
        <v>89</v>
      </c>
      <c r="E29">
        <v>18.7</v>
      </c>
      <c r="F29" t="s">
        <v>90</v>
      </c>
      <c r="G29">
        <v>9.6</v>
      </c>
      <c r="H29" t="s">
        <v>91</v>
      </c>
      <c r="I29">
        <v>6.4</v>
      </c>
      <c r="J29" t="s">
        <v>92</v>
      </c>
      <c r="K29">
        <v>8</v>
      </c>
      <c r="L29" t="s">
        <v>93</v>
      </c>
      <c r="M29">
        <v>1.3</v>
      </c>
      <c r="N29" t="s">
        <v>94</v>
      </c>
      <c r="O29">
        <v>2.8</v>
      </c>
      <c r="P29" t="s">
        <v>95</v>
      </c>
      <c r="Q29">
        <v>21</v>
      </c>
      <c r="R29" t="s">
        <v>96</v>
      </c>
      <c r="S29" t="s">
        <v>65</v>
      </c>
      <c r="T29">
        <v>7.9</v>
      </c>
    </row>
    <row r="30" spans="1:20" x14ac:dyDescent="0.3">
      <c r="A30">
        <v>2017</v>
      </c>
      <c r="B30">
        <v>2</v>
      </c>
      <c r="C30" t="s">
        <v>18</v>
      </c>
      <c r="D30" t="s">
        <v>89</v>
      </c>
      <c r="E30">
        <v>21.2</v>
      </c>
      <c r="F30" t="s">
        <v>90</v>
      </c>
      <c r="G30">
        <v>3.7</v>
      </c>
      <c r="H30" t="s">
        <v>91</v>
      </c>
      <c r="I30">
        <v>1.3</v>
      </c>
      <c r="J30" t="s">
        <v>92</v>
      </c>
      <c r="K30">
        <v>7.4</v>
      </c>
      <c r="L30" t="s">
        <v>93</v>
      </c>
      <c r="M30">
        <v>1.2</v>
      </c>
      <c r="N30" t="s">
        <v>94</v>
      </c>
      <c r="O30">
        <v>1.5</v>
      </c>
      <c r="P30" t="s">
        <v>95</v>
      </c>
      <c r="Q30">
        <v>2.8</v>
      </c>
      <c r="R30" t="s">
        <v>96</v>
      </c>
      <c r="S30" t="s">
        <v>65</v>
      </c>
      <c r="T30">
        <v>7.4</v>
      </c>
    </row>
    <row r="31" spans="1:20" x14ac:dyDescent="0.3">
      <c r="A31">
        <v>2017</v>
      </c>
      <c r="B31">
        <v>3</v>
      </c>
      <c r="C31" t="s">
        <v>18</v>
      </c>
      <c r="D31" t="s">
        <v>89</v>
      </c>
      <c r="E31">
        <v>5.2</v>
      </c>
      <c r="F31" t="s">
        <v>90</v>
      </c>
      <c r="G31">
        <v>6.4</v>
      </c>
      <c r="H31" t="s">
        <v>97</v>
      </c>
      <c r="I31">
        <v>6.6</v>
      </c>
      <c r="J31" t="s">
        <v>92</v>
      </c>
      <c r="K31">
        <v>21.5</v>
      </c>
      <c r="L31" t="s">
        <v>98</v>
      </c>
      <c r="M31">
        <v>5.7</v>
      </c>
      <c r="N31" t="s">
        <v>99</v>
      </c>
      <c r="O31">
        <v>2.2000000000000002</v>
      </c>
      <c r="P31" t="s">
        <v>95</v>
      </c>
      <c r="Q31">
        <v>1.9</v>
      </c>
      <c r="R31" t="s">
        <v>96</v>
      </c>
      <c r="S31" t="s">
        <v>65</v>
      </c>
      <c r="T31">
        <v>2.5</v>
      </c>
    </row>
    <row r="32" spans="1:20" x14ac:dyDescent="0.3">
      <c r="A32">
        <v>2017</v>
      </c>
      <c r="B32">
        <v>4</v>
      </c>
      <c r="C32" t="s">
        <v>18</v>
      </c>
      <c r="D32" t="s">
        <v>89</v>
      </c>
      <c r="E32">
        <v>9.6999999999999993</v>
      </c>
      <c r="F32" t="s">
        <v>90</v>
      </c>
      <c r="G32">
        <v>3.2</v>
      </c>
      <c r="H32" t="s">
        <v>97</v>
      </c>
      <c r="I32">
        <v>4.8</v>
      </c>
      <c r="J32" t="s">
        <v>92</v>
      </c>
      <c r="K32">
        <v>7</v>
      </c>
      <c r="L32" t="s">
        <v>98</v>
      </c>
      <c r="M32">
        <v>3.7</v>
      </c>
      <c r="N32" t="s">
        <v>99</v>
      </c>
      <c r="O32">
        <v>5.5</v>
      </c>
      <c r="P32" t="s">
        <v>95</v>
      </c>
      <c r="Q32">
        <v>2.2000000000000002</v>
      </c>
      <c r="R32" t="s">
        <v>96</v>
      </c>
      <c r="S32" t="s">
        <v>65</v>
      </c>
      <c r="T32">
        <v>20</v>
      </c>
    </row>
    <row r="33" spans="1:20" x14ac:dyDescent="0.3">
      <c r="A33">
        <v>2017</v>
      </c>
      <c r="B33">
        <v>5</v>
      </c>
      <c r="C33" t="s">
        <v>18</v>
      </c>
      <c r="D33" t="s">
        <v>240</v>
      </c>
      <c r="E33">
        <v>15.2</v>
      </c>
      <c r="F33" t="s">
        <v>91</v>
      </c>
      <c r="G33">
        <v>5.3</v>
      </c>
      <c r="H33" t="s">
        <v>97</v>
      </c>
      <c r="I33">
        <v>5.9</v>
      </c>
      <c r="J33" t="s">
        <v>92</v>
      </c>
      <c r="K33">
        <v>5.7</v>
      </c>
      <c r="L33" t="s">
        <v>98</v>
      </c>
      <c r="M33">
        <v>11.8</v>
      </c>
      <c r="N33" t="s">
        <v>99</v>
      </c>
      <c r="O33">
        <v>11.4</v>
      </c>
      <c r="P33" t="s">
        <v>241</v>
      </c>
      <c r="Q33">
        <v>1.4</v>
      </c>
      <c r="R33" t="s">
        <v>96</v>
      </c>
      <c r="S33" t="s">
        <v>65</v>
      </c>
      <c r="T33">
        <v>2.7</v>
      </c>
    </row>
    <row r="34" spans="1:20" x14ac:dyDescent="0.3">
      <c r="A34">
        <v>2017</v>
      </c>
      <c r="B34">
        <v>6</v>
      </c>
      <c r="C34" t="s">
        <v>18</v>
      </c>
      <c r="D34" t="s">
        <v>240</v>
      </c>
      <c r="E34">
        <v>14.9</v>
      </c>
      <c r="F34" t="s">
        <v>90</v>
      </c>
      <c r="G34">
        <v>8.3000000000000007</v>
      </c>
      <c r="H34" t="s">
        <v>97</v>
      </c>
      <c r="I34">
        <v>-0.4</v>
      </c>
      <c r="J34" t="s">
        <v>93</v>
      </c>
      <c r="K34">
        <v>4.5</v>
      </c>
      <c r="L34" t="s">
        <v>98</v>
      </c>
      <c r="M34">
        <v>9.9</v>
      </c>
      <c r="N34" t="s">
        <v>99</v>
      </c>
      <c r="O34">
        <v>9.5</v>
      </c>
      <c r="P34" t="s">
        <v>241</v>
      </c>
      <c r="Q34">
        <v>15</v>
      </c>
      <c r="R34" t="s">
        <v>96</v>
      </c>
      <c r="S34" t="s">
        <v>65</v>
      </c>
      <c r="T34">
        <v>2.2000000000000002</v>
      </c>
    </row>
    <row r="35" spans="1:20" x14ac:dyDescent="0.3">
      <c r="A35">
        <v>2017</v>
      </c>
      <c r="B35">
        <v>7</v>
      </c>
      <c r="C35" t="s">
        <v>18</v>
      </c>
      <c r="D35" t="s">
        <v>89</v>
      </c>
      <c r="E35">
        <v>30.2</v>
      </c>
      <c r="F35" t="s">
        <v>90</v>
      </c>
      <c r="G35">
        <v>9.1</v>
      </c>
      <c r="H35" t="s">
        <v>97</v>
      </c>
      <c r="I35">
        <v>4.8</v>
      </c>
      <c r="J35" t="s">
        <v>93</v>
      </c>
      <c r="K35">
        <v>1.4</v>
      </c>
      <c r="L35" t="s">
        <v>98</v>
      </c>
      <c r="M35">
        <v>9.4</v>
      </c>
      <c r="N35" t="s">
        <v>99</v>
      </c>
      <c r="O35">
        <v>3.9</v>
      </c>
      <c r="P35" t="s">
        <v>119</v>
      </c>
      <c r="Q35">
        <v>0.7</v>
      </c>
      <c r="R35" t="s">
        <v>96</v>
      </c>
      <c r="S35" t="s">
        <v>65</v>
      </c>
      <c r="T35">
        <v>1.6</v>
      </c>
    </row>
    <row r="36" spans="1:20" x14ac:dyDescent="0.3">
      <c r="A36">
        <v>2017</v>
      </c>
      <c r="B36">
        <v>8</v>
      </c>
      <c r="C36" t="s">
        <v>18</v>
      </c>
      <c r="D36" t="s">
        <v>89</v>
      </c>
      <c r="E36">
        <v>12.5</v>
      </c>
      <c r="F36" t="s">
        <v>90</v>
      </c>
      <c r="G36">
        <v>17.8</v>
      </c>
      <c r="H36" t="s">
        <v>97</v>
      </c>
      <c r="I36">
        <v>9.4</v>
      </c>
      <c r="J36" t="s">
        <v>98</v>
      </c>
      <c r="K36">
        <v>2.4</v>
      </c>
      <c r="L36" t="s">
        <v>280</v>
      </c>
      <c r="M36">
        <v>25.5</v>
      </c>
      <c r="N36" t="s">
        <v>99</v>
      </c>
      <c r="O36">
        <v>0</v>
      </c>
      <c r="P36" t="s">
        <v>241</v>
      </c>
      <c r="Q36">
        <v>3</v>
      </c>
      <c r="R36" t="s">
        <v>92</v>
      </c>
      <c r="S36" t="s">
        <v>65</v>
      </c>
      <c r="T36">
        <v>8.4</v>
      </c>
    </row>
    <row r="37" spans="1:20" x14ac:dyDescent="0.3">
      <c r="A37">
        <v>2017</v>
      </c>
      <c r="B37">
        <v>9</v>
      </c>
      <c r="C37" t="s">
        <v>18</v>
      </c>
      <c r="D37" t="s">
        <v>89</v>
      </c>
      <c r="E37">
        <v>13.7</v>
      </c>
      <c r="F37" t="s">
        <v>91</v>
      </c>
      <c r="G37">
        <v>7.4</v>
      </c>
      <c r="H37" t="s">
        <v>97</v>
      </c>
      <c r="I37">
        <v>-1.9</v>
      </c>
      <c r="J37" t="s">
        <v>98</v>
      </c>
      <c r="K37">
        <v>4.8</v>
      </c>
      <c r="L37" t="s">
        <v>280</v>
      </c>
      <c r="M37">
        <v>5.6</v>
      </c>
      <c r="N37" t="s">
        <v>150</v>
      </c>
      <c r="O37">
        <v>6.4</v>
      </c>
      <c r="P37" t="s">
        <v>241</v>
      </c>
      <c r="Q37">
        <v>6.1</v>
      </c>
      <c r="R37" t="s">
        <v>92</v>
      </c>
      <c r="S37" t="s">
        <v>65</v>
      </c>
      <c r="T37">
        <v>20.3</v>
      </c>
    </row>
    <row r="38" spans="1:20" x14ac:dyDescent="0.3">
      <c r="A38">
        <v>2017</v>
      </c>
      <c r="B38">
        <v>1</v>
      </c>
      <c r="C38" t="s">
        <v>17</v>
      </c>
      <c r="D38" t="s">
        <v>100</v>
      </c>
      <c r="E38">
        <v>18.8</v>
      </c>
      <c r="F38" t="s">
        <v>101</v>
      </c>
      <c r="G38">
        <v>9</v>
      </c>
      <c r="H38" t="s">
        <v>102</v>
      </c>
      <c r="I38">
        <v>22.5</v>
      </c>
      <c r="J38" t="s">
        <v>103</v>
      </c>
      <c r="K38">
        <v>24.2</v>
      </c>
      <c r="L38" t="s">
        <v>104</v>
      </c>
      <c r="M38">
        <v>4.9000000000000004</v>
      </c>
      <c r="N38" t="s">
        <v>105</v>
      </c>
      <c r="O38">
        <v>2.2999999999999998</v>
      </c>
      <c r="P38" t="s">
        <v>106</v>
      </c>
      <c r="Q38">
        <v>8.8000000000000007</v>
      </c>
      <c r="R38" t="s">
        <v>107</v>
      </c>
      <c r="S38" t="s">
        <v>73</v>
      </c>
      <c r="T38">
        <v>16.5</v>
      </c>
    </row>
    <row r="39" spans="1:20" x14ac:dyDescent="0.3">
      <c r="A39">
        <v>2017</v>
      </c>
      <c r="B39">
        <v>2</v>
      </c>
      <c r="C39" t="s">
        <v>17</v>
      </c>
      <c r="D39" t="s">
        <v>100</v>
      </c>
      <c r="E39">
        <v>13</v>
      </c>
      <c r="F39" t="s">
        <v>101</v>
      </c>
      <c r="G39">
        <v>6.4</v>
      </c>
      <c r="H39" t="s">
        <v>102</v>
      </c>
      <c r="I39">
        <v>12.9</v>
      </c>
      <c r="J39" t="s">
        <v>103</v>
      </c>
      <c r="K39">
        <v>4.0999999999999996</v>
      </c>
      <c r="L39" t="s">
        <v>108</v>
      </c>
      <c r="M39">
        <v>16.3</v>
      </c>
      <c r="N39" t="s">
        <v>105</v>
      </c>
      <c r="O39">
        <v>0.6</v>
      </c>
      <c r="P39" t="s">
        <v>109</v>
      </c>
      <c r="Q39">
        <v>13.7</v>
      </c>
      <c r="R39" t="s">
        <v>107</v>
      </c>
      <c r="S39" t="s">
        <v>73</v>
      </c>
      <c r="T39">
        <v>4.2</v>
      </c>
    </row>
    <row r="40" spans="1:20" x14ac:dyDescent="0.3">
      <c r="A40">
        <v>2017</v>
      </c>
      <c r="B40">
        <v>3</v>
      </c>
      <c r="C40" t="s">
        <v>17</v>
      </c>
      <c r="D40" t="s">
        <v>110</v>
      </c>
      <c r="E40">
        <v>11.7</v>
      </c>
      <c r="F40" t="s">
        <v>101</v>
      </c>
      <c r="G40">
        <v>16.2</v>
      </c>
      <c r="H40" t="s">
        <v>102</v>
      </c>
      <c r="I40">
        <v>3.1</v>
      </c>
      <c r="J40" t="s">
        <v>111</v>
      </c>
      <c r="K40">
        <v>24.4</v>
      </c>
      <c r="L40" t="s">
        <v>103</v>
      </c>
      <c r="M40">
        <v>33.299999999999997</v>
      </c>
      <c r="N40" t="s">
        <v>112</v>
      </c>
      <c r="O40">
        <v>0</v>
      </c>
      <c r="P40" t="s">
        <v>109</v>
      </c>
      <c r="Q40">
        <v>-5.2</v>
      </c>
      <c r="R40" t="s">
        <v>107</v>
      </c>
      <c r="S40" t="s">
        <v>73</v>
      </c>
      <c r="T40">
        <v>16.899999999999999</v>
      </c>
    </row>
    <row r="41" spans="1:20" x14ac:dyDescent="0.3">
      <c r="A41">
        <v>2017</v>
      </c>
      <c r="B41">
        <v>4</v>
      </c>
      <c r="C41" t="s">
        <v>17</v>
      </c>
      <c r="D41" t="s">
        <v>100</v>
      </c>
      <c r="E41">
        <v>15.7</v>
      </c>
      <c r="F41" t="s">
        <v>101</v>
      </c>
      <c r="G41">
        <v>6.9</v>
      </c>
      <c r="H41" t="s">
        <v>107</v>
      </c>
      <c r="I41">
        <v>27.9</v>
      </c>
      <c r="J41" t="s">
        <v>103</v>
      </c>
      <c r="K41">
        <v>12.3</v>
      </c>
      <c r="L41" t="s">
        <v>108</v>
      </c>
      <c r="M41">
        <v>14.5</v>
      </c>
      <c r="N41" t="s">
        <v>105</v>
      </c>
      <c r="O41">
        <v>8.1</v>
      </c>
      <c r="P41" t="s">
        <v>109</v>
      </c>
      <c r="Q41">
        <v>1.2</v>
      </c>
      <c r="R41" t="s">
        <v>111</v>
      </c>
      <c r="S41" t="s">
        <v>65</v>
      </c>
      <c r="T41">
        <v>12.5</v>
      </c>
    </row>
    <row r="42" spans="1:20" x14ac:dyDescent="0.3">
      <c r="A42">
        <v>2017</v>
      </c>
      <c r="B42">
        <v>5</v>
      </c>
      <c r="C42" t="s">
        <v>17</v>
      </c>
      <c r="D42" t="s">
        <v>242</v>
      </c>
      <c r="E42">
        <v>18</v>
      </c>
      <c r="F42" t="s">
        <v>101</v>
      </c>
      <c r="G42">
        <v>12.3</v>
      </c>
      <c r="H42" t="s">
        <v>107</v>
      </c>
      <c r="I42">
        <v>13.7</v>
      </c>
      <c r="J42" t="s">
        <v>111</v>
      </c>
      <c r="K42">
        <v>19</v>
      </c>
      <c r="L42" t="s">
        <v>108</v>
      </c>
      <c r="M42">
        <v>17.399999999999999</v>
      </c>
      <c r="N42" t="s">
        <v>105</v>
      </c>
      <c r="O42">
        <v>12.7</v>
      </c>
      <c r="P42" t="s">
        <v>243</v>
      </c>
      <c r="Q42">
        <v>0</v>
      </c>
      <c r="R42" t="s">
        <v>103</v>
      </c>
      <c r="S42" t="s">
        <v>65</v>
      </c>
      <c r="T42">
        <v>0.9</v>
      </c>
    </row>
    <row r="43" spans="1:20" x14ac:dyDescent="0.3">
      <c r="A43">
        <v>2017</v>
      </c>
      <c r="B43">
        <v>6</v>
      </c>
      <c r="C43" t="s">
        <v>17</v>
      </c>
      <c r="D43" t="s">
        <v>100</v>
      </c>
      <c r="E43">
        <v>14.2</v>
      </c>
      <c r="F43" t="s">
        <v>101</v>
      </c>
      <c r="G43">
        <v>17.399999999999999</v>
      </c>
      <c r="H43" t="s">
        <v>102</v>
      </c>
      <c r="I43">
        <v>2.4</v>
      </c>
      <c r="J43" t="s">
        <v>108</v>
      </c>
      <c r="K43">
        <v>2.4</v>
      </c>
      <c r="L43" t="s">
        <v>182</v>
      </c>
      <c r="M43">
        <v>4.5</v>
      </c>
      <c r="N43" t="s">
        <v>190</v>
      </c>
      <c r="O43">
        <v>12.5</v>
      </c>
      <c r="P43" t="s">
        <v>268</v>
      </c>
      <c r="Q43">
        <v>3</v>
      </c>
      <c r="R43" t="s">
        <v>269</v>
      </c>
      <c r="S43" t="s">
        <v>73</v>
      </c>
      <c r="T43">
        <v>14.9</v>
      </c>
    </row>
    <row r="44" spans="1:20" x14ac:dyDescent="0.3">
      <c r="A44">
        <v>2017</v>
      </c>
      <c r="B44">
        <v>7</v>
      </c>
      <c r="C44" t="s">
        <v>17</v>
      </c>
      <c r="D44" t="s">
        <v>100</v>
      </c>
      <c r="E44">
        <v>8.9</v>
      </c>
      <c r="F44" t="s">
        <v>101</v>
      </c>
      <c r="G44">
        <v>8.1</v>
      </c>
      <c r="H44" t="s">
        <v>269</v>
      </c>
      <c r="I44">
        <v>9</v>
      </c>
      <c r="J44" t="s">
        <v>108</v>
      </c>
      <c r="K44">
        <v>9.1</v>
      </c>
      <c r="L44" t="s">
        <v>282</v>
      </c>
      <c r="M44">
        <v>0</v>
      </c>
      <c r="N44" t="s">
        <v>105</v>
      </c>
      <c r="O44">
        <v>12.6</v>
      </c>
      <c r="P44" t="s">
        <v>281</v>
      </c>
      <c r="Q44">
        <v>5.0999999999999996</v>
      </c>
      <c r="R44" t="s">
        <v>107</v>
      </c>
      <c r="S44" t="s">
        <v>73</v>
      </c>
      <c r="T44">
        <v>40.4</v>
      </c>
    </row>
    <row r="45" spans="1:20" x14ac:dyDescent="0.3">
      <c r="A45">
        <v>2017</v>
      </c>
      <c r="B45">
        <v>8</v>
      </c>
      <c r="C45" t="s">
        <v>17</v>
      </c>
      <c r="D45" t="s">
        <v>253</v>
      </c>
      <c r="E45">
        <v>18.3</v>
      </c>
      <c r="F45" t="s">
        <v>101</v>
      </c>
      <c r="G45">
        <v>7.7</v>
      </c>
      <c r="H45" t="s">
        <v>164</v>
      </c>
      <c r="I45">
        <v>6.4</v>
      </c>
      <c r="J45" t="s">
        <v>103</v>
      </c>
      <c r="K45">
        <v>4.5999999999999996</v>
      </c>
      <c r="L45" t="s">
        <v>108</v>
      </c>
      <c r="M45">
        <v>8.5</v>
      </c>
      <c r="N45" t="s">
        <v>105</v>
      </c>
      <c r="O45">
        <v>17.899999999999999</v>
      </c>
      <c r="P45" t="s">
        <v>281</v>
      </c>
      <c r="Q45">
        <v>5.9</v>
      </c>
      <c r="R45" t="s">
        <v>107</v>
      </c>
      <c r="S45" t="s">
        <v>73</v>
      </c>
      <c r="T45">
        <v>25.9</v>
      </c>
    </row>
    <row r="46" spans="1:20" x14ac:dyDescent="0.3">
      <c r="A46">
        <v>2017</v>
      </c>
      <c r="B46">
        <v>9</v>
      </c>
      <c r="C46" t="s">
        <v>17</v>
      </c>
      <c r="D46" t="s">
        <v>100</v>
      </c>
      <c r="E46">
        <v>15.3</v>
      </c>
      <c r="F46" t="s">
        <v>101</v>
      </c>
      <c r="G46">
        <v>17.899999999999999</v>
      </c>
      <c r="H46" t="s">
        <v>269</v>
      </c>
      <c r="I46">
        <v>0.7</v>
      </c>
      <c r="J46" t="s">
        <v>296</v>
      </c>
      <c r="K46">
        <v>7.4</v>
      </c>
      <c r="L46" t="s">
        <v>182</v>
      </c>
      <c r="M46">
        <v>6.9</v>
      </c>
      <c r="N46" t="s">
        <v>105</v>
      </c>
      <c r="O46">
        <v>8.4</v>
      </c>
      <c r="P46" t="s">
        <v>281</v>
      </c>
      <c r="Q46">
        <v>18.399999999999999</v>
      </c>
      <c r="R46" t="s">
        <v>107</v>
      </c>
      <c r="S46" t="s">
        <v>73</v>
      </c>
      <c r="T46">
        <v>15.3</v>
      </c>
    </row>
    <row r="47" spans="1:20" x14ac:dyDescent="0.3">
      <c r="A47">
        <v>2017</v>
      </c>
      <c r="B47">
        <v>1</v>
      </c>
      <c r="C47" t="s">
        <v>10</v>
      </c>
      <c r="D47" t="s">
        <v>113</v>
      </c>
      <c r="E47">
        <v>15.6</v>
      </c>
      <c r="F47" t="s">
        <v>114</v>
      </c>
      <c r="G47">
        <v>3.5</v>
      </c>
      <c r="H47" t="s">
        <v>115</v>
      </c>
      <c r="I47">
        <v>10.9</v>
      </c>
      <c r="J47" t="s">
        <v>116</v>
      </c>
      <c r="K47">
        <v>9.9</v>
      </c>
      <c r="L47" t="s">
        <v>117</v>
      </c>
      <c r="M47">
        <v>16.399999999999999</v>
      </c>
      <c r="N47" t="s">
        <v>118</v>
      </c>
      <c r="O47">
        <v>5.8</v>
      </c>
      <c r="P47" t="s">
        <v>119</v>
      </c>
      <c r="Q47">
        <v>0.1</v>
      </c>
      <c r="R47" t="s">
        <v>120</v>
      </c>
      <c r="S47" t="s">
        <v>73</v>
      </c>
      <c r="T47">
        <v>11.6</v>
      </c>
    </row>
    <row r="48" spans="1:20" x14ac:dyDescent="0.3">
      <c r="A48">
        <v>2017</v>
      </c>
      <c r="B48">
        <v>2</v>
      </c>
      <c r="C48" t="s">
        <v>10</v>
      </c>
      <c r="D48" t="s">
        <v>113</v>
      </c>
      <c r="E48">
        <v>22.2</v>
      </c>
      <c r="F48" t="s">
        <v>114</v>
      </c>
      <c r="G48">
        <v>3.2</v>
      </c>
      <c r="H48" t="s">
        <v>115</v>
      </c>
      <c r="I48">
        <v>23</v>
      </c>
      <c r="J48" t="s">
        <v>116</v>
      </c>
      <c r="K48">
        <v>9.1999999999999993</v>
      </c>
      <c r="L48" t="s">
        <v>117</v>
      </c>
      <c r="M48">
        <v>4.5</v>
      </c>
      <c r="N48" t="s">
        <v>118</v>
      </c>
      <c r="O48">
        <v>7.2</v>
      </c>
      <c r="P48" t="s">
        <v>119</v>
      </c>
      <c r="Q48">
        <v>6</v>
      </c>
      <c r="R48" t="s">
        <v>121</v>
      </c>
      <c r="S48" t="s">
        <v>65</v>
      </c>
      <c r="T48">
        <v>5.4</v>
      </c>
    </row>
    <row r="49" spans="1:20" x14ac:dyDescent="0.3">
      <c r="A49">
        <v>2017</v>
      </c>
      <c r="B49">
        <v>3</v>
      </c>
      <c r="C49" t="s">
        <v>10</v>
      </c>
      <c r="D49" t="s">
        <v>113</v>
      </c>
      <c r="E49">
        <v>20.8</v>
      </c>
      <c r="F49" t="s">
        <v>114</v>
      </c>
      <c r="G49">
        <v>4</v>
      </c>
      <c r="H49" t="s">
        <v>115</v>
      </c>
      <c r="I49">
        <v>21.3</v>
      </c>
      <c r="J49" t="s">
        <v>116</v>
      </c>
      <c r="K49">
        <v>22.1</v>
      </c>
      <c r="L49" t="s">
        <v>117</v>
      </c>
      <c r="M49">
        <v>15.3</v>
      </c>
      <c r="N49" t="s">
        <v>118</v>
      </c>
      <c r="O49">
        <v>2.7</v>
      </c>
      <c r="P49" t="s">
        <v>119</v>
      </c>
      <c r="Q49">
        <v>3.6</v>
      </c>
      <c r="R49" t="s">
        <v>122</v>
      </c>
      <c r="S49" t="s">
        <v>65</v>
      </c>
      <c r="T49">
        <v>3.9</v>
      </c>
    </row>
    <row r="50" spans="1:20" x14ac:dyDescent="0.3">
      <c r="A50">
        <v>2017</v>
      </c>
      <c r="B50">
        <v>4</v>
      </c>
      <c r="C50" t="s">
        <v>10</v>
      </c>
      <c r="D50" t="s">
        <v>113</v>
      </c>
      <c r="E50">
        <v>19</v>
      </c>
      <c r="F50" t="s">
        <v>115</v>
      </c>
      <c r="G50">
        <v>14.8</v>
      </c>
      <c r="H50" t="s">
        <v>123</v>
      </c>
      <c r="I50">
        <v>16.100000000000001</v>
      </c>
      <c r="J50" t="s">
        <v>116</v>
      </c>
      <c r="K50">
        <v>14.8</v>
      </c>
      <c r="L50" t="s">
        <v>117</v>
      </c>
      <c r="M50">
        <v>4.5999999999999996</v>
      </c>
      <c r="N50" t="s">
        <v>118</v>
      </c>
      <c r="O50">
        <v>6.9</v>
      </c>
      <c r="P50" t="s">
        <v>119</v>
      </c>
      <c r="Q50">
        <v>-1.7</v>
      </c>
      <c r="R50" t="s">
        <v>122</v>
      </c>
      <c r="S50" t="s">
        <v>65</v>
      </c>
      <c r="T50">
        <v>5.2</v>
      </c>
    </row>
    <row r="51" spans="1:20" x14ac:dyDescent="0.3">
      <c r="A51">
        <v>2017</v>
      </c>
      <c r="B51">
        <v>5</v>
      </c>
      <c r="C51" t="s">
        <v>10</v>
      </c>
      <c r="D51" t="s">
        <v>244</v>
      </c>
      <c r="E51">
        <v>13</v>
      </c>
      <c r="F51" t="s">
        <v>120</v>
      </c>
      <c r="G51">
        <v>7.3</v>
      </c>
      <c r="H51" t="s">
        <v>123</v>
      </c>
      <c r="I51">
        <v>7.4</v>
      </c>
      <c r="J51" t="s">
        <v>116</v>
      </c>
      <c r="K51">
        <v>26.4</v>
      </c>
      <c r="L51" t="s">
        <v>117</v>
      </c>
      <c r="M51">
        <v>7.3</v>
      </c>
      <c r="N51" t="s">
        <v>118</v>
      </c>
      <c r="O51">
        <v>6.8</v>
      </c>
      <c r="P51" t="s">
        <v>119</v>
      </c>
      <c r="Q51">
        <v>2</v>
      </c>
      <c r="R51" t="s">
        <v>122</v>
      </c>
      <c r="S51" t="s">
        <v>65</v>
      </c>
      <c r="T51">
        <v>8.4</v>
      </c>
    </row>
    <row r="52" spans="1:20" x14ac:dyDescent="0.3">
      <c r="A52">
        <v>2017</v>
      </c>
      <c r="B52">
        <v>6</v>
      </c>
      <c r="C52" t="s">
        <v>10</v>
      </c>
      <c r="D52" t="s">
        <v>113</v>
      </c>
      <c r="E52">
        <v>11.5</v>
      </c>
      <c r="F52" t="s">
        <v>115</v>
      </c>
      <c r="G52">
        <v>8.9</v>
      </c>
      <c r="H52" t="s">
        <v>123</v>
      </c>
      <c r="I52">
        <v>8.6999999999999993</v>
      </c>
      <c r="J52" t="s">
        <v>117</v>
      </c>
      <c r="K52">
        <v>19.100000000000001</v>
      </c>
      <c r="L52" t="s">
        <v>121</v>
      </c>
      <c r="M52">
        <v>11.3</v>
      </c>
      <c r="N52" t="s">
        <v>118</v>
      </c>
      <c r="O52">
        <v>3.2</v>
      </c>
      <c r="P52" t="s">
        <v>130</v>
      </c>
      <c r="Q52">
        <v>7.9</v>
      </c>
      <c r="R52" t="s">
        <v>122</v>
      </c>
      <c r="S52" t="s">
        <v>65</v>
      </c>
      <c r="T52">
        <v>18.600000000000001</v>
      </c>
    </row>
    <row r="53" spans="1:20" x14ac:dyDescent="0.3">
      <c r="A53">
        <v>2017</v>
      </c>
      <c r="B53">
        <v>7</v>
      </c>
      <c r="C53" t="s">
        <v>10</v>
      </c>
      <c r="D53" t="s">
        <v>113</v>
      </c>
      <c r="E53">
        <v>19.100000000000001</v>
      </c>
      <c r="F53" t="s">
        <v>115</v>
      </c>
      <c r="G53">
        <v>10.5</v>
      </c>
      <c r="H53" t="s">
        <v>123</v>
      </c>
      <c r="I53">
        <v>2.9</v>
      </c>
      <c r="J53" t="s">
        <v>116</v>
      </c>
      <c r="K53">
        <v>5.6</v>
      </c>
      <c r="L53" t="s">
        <v>121</v>
      </c>
      <c r="M53">
        <v>9.8000000000000007</v>
      </c>
      <c r="N53" t="s">
        <v>118</v>
      </c>
      <c r="O53">
        <v>2.7</v>
      </c>
      <c r="P53" t="s">
        <v>130</v>
      </c>
      <c r="Q53">
        <v>12.2</v>
      </c>
      <c r="R53" t="s">
        <v>283</v>
      </c>
      <c r="S53" t="s">
        <v>65</v>
      </c>
      <c r="T53">
        <v>9.5</v>
      </c>
    </row>
    <row r="54" spans="1:20" x14ac:dyDescent="0.3">
      <c r="A54">
        <v>2017</v>
      </c>
      <c r="B54">
        <v>8</v>
      </c>
      <c r="C54" t="s">
        <v>10</v>
      </c>
      <c r="D54" t="s">
        <v>113</v>
      </c>
      <c r="E54">
        <v>11.8</v>
      </c>
      <c r="F54" t="s">
        <v>115</v>
      </c>
      <c r="G54">
        <v>6.6</v>
      </c>
      <c r="H54" t="s">
        <v>123</v>
      </c>
      <c r="I54">
        <v>11.7</v>
      </c>
      <c r="J54" t="s">
        <v>116</v>
      </c>
      <c r="K54">
        <v>10.199999999999999</v>
      </c>
      <c r="L54" t="s">
        <v>121</v>
      </c>
      <c r="M54">
        <v>5.2</v>
      </c>
      <c r="N54" t="s">
        <v>254</v>
      </c>
      <c r="O54">
        <v>7.1</v>
      </c>
      <c r="P54" t="s">
        <v>130</v>
      </c>
      <c r="Q54">
        <v>2</v>
      </c>
      <c r="R54" t="s">
        <v>122</v>
      </c>
      <c r="S54" t="s">
        <v>65</v>
      </c>
      <c r="T54">
        <v>15.8</v>
      </c>
    </row>
    <row r="55" spans="1:20" x14ac:dyDescent="0.3">
      <c r="A55">
        <v>2017</v>
      </c>
      <c r="B55">
        <v>9</v>
      </c>
      <c r="C55" t="s">
        <v>10</v>
      </c>
      <c r="D55" t="s">
        <v>113</v>
      </c>
      <c r="E55">
        <v>18.7</v>
      </c>
      <c r="F55" t="s">
        <v>115</v>
      </c>
      <c r="G55">
        <v>8.4</v>
      </c>
      <c r="H55" t="s">
        <v>247</v>
      </c>
      <c r="I55">
        <v>2.1</v>
      </c>
      <c r="J55" t="s">
        <v>116</v>
      </c>
      <c r="K55">
        <v>1.1000000000000001</v>
      </c>
      <c r="L55" t="s">
        <v>117</v>
      </c>
      <c r="M55">
        <v>14.8</v>
      </c>
      <c r="N55" t="s">
        <v>254</v>
      </c>
      <c r="O55">
        <v>8.9</v>
      </c>
      <c r="P55" t="s">
        <v>243</v>
      </c>
      <c r="Q55">
        <v>0</v>
      </c>
      <c r="R55" t="s">
        <v>122</v>
      </c>
      <c r="S55" t="s">
        <v>65</v>
      </c>
      <c r="T55">
        <v>26.2</v>
      </c>
    </row>
    <row r="56" spans="1:20" x14ac:dyDescent="0.3">
      <c r="A56">
        <v>2017</v>
      </c>
      <c r="B56">
        <v>1</v>
      </c>
      <c r="C56" t="s">
        <v>124</v>
      </c>
      <c r="D56" t="s">
        <v>125</v>
      </c>
      <c r="E56">
        <v>15.7</v>
      </c>
      <c r="F56" t="s">
        <v>126</v>
      </c>
      <c r="G56">
        <v>7.8</v>
      </c>
      <c r="H56" t="s">
        <v>123</v>
      </c>
      <c r="I56">
        <v>11.2</v>
      </c>
      <c r="J56" t="s">
        <v>127</v>
      </c>
      <c r="K56">
        <v>23.7</v>
      </c>
      <c r="L56" t="s">
        <v>128</v>
      </c>
      <c r="M56">
        <v>10.3</v>
      </c>
      <c r="N56" t="s">
        <v>129</v>
      </c>
      <c r="O56">
        <v>2.7</v>
      </c>
      <c r="P56" t="s">
        <v>130</v>
      </c>
      <c r="Q56">
        <v>19.399999999999999</v>
      </c>
      <c r="R56" t="s">
        <v>131</v>
      </c>
      <c r="S56" t="s">
        <v>65</v>
      </c>
      <c r="T56">
        <v>3</v>
      </c>
    </row>
    <row r="57" spans="1:20" x14ac:dyDescent="0.3">
      <c r="A57">
        <v>2017</v>
      </c>
      <c r="B57">
        <v>2</v>
      </c>
      <c r="C57" t="s">
        <v>124</v>
      </c>
      <c r="D57" t="s">
        <v>125</v>
      </c>
      <c r="E57">
        <v>17.5</v>
      </c>
      <c r="F57" t="s">
        <v>126</v>
      </c>
      <c r="G57">
        <v>11.5</v>
      </c>
      <c r="H57" t="s">
        <v>123</v>
      </c>
      <c r="I57">
        <v>0.5</v>
      </c>
      <c r="J57" t="s">
        <v>127</v>
      </c>
      <c r="K57">
        <v>8.6999999999999993</v>
      </c>
      <c r="L57" t="s">
        <v>128</v>
      </c>
      <c r="M57">
        <v>5.3</v>
      </c>
      <c r="N57" t="s">
        <v>132</v>
      </c>
      <c r="O57">
        <v>4.0999999999999996</v>
      </c>
      <c r="P57" t="s">
        <v>133</v>
      </c>
      <c r="Q57">
        <v>9.4</v>
      </c>
      <c r="R57" t="s">
        <v>134</v>
      </c>
      <c r="S57" t="s">
        <v>65</v>
      </c>
      <c r="T57">
        <v>13.6</v>
      </c>
    </row>
    <row r="58" spans="1:20" x14ac:dyDescent="0.3">
      <c r="A58">
        <v>2017</v>
      </c>
      <c r="B58">
        <v>3</v>
      </c>
      <c r="C58" t="s">
        <v>124</v>
      </c>
      <c r="D58" t="s">
        <v>135</v>
      </c>
      <c r="E58">
        <v>17.8</v>
      </c>
      <c r="F58" t="s">
        <v>126</v>
      </c>
      <c r="G58">
        <v>10.4</v>
      </c>
      <c r="H58" t="s">
        <v>136</v>
      </c>
      <c r="I58">
        <v>12.2</v>
      </c>
      <c r="J58" t="s">
        <v>127</v>
      </c>
      <c r="K58">
        <v>22</v>
      </c>
      <c r="L58" t="s">
        <v>131</v>
      </c>
      <c r="M58">
        <v>1.8</v>
      </c>
      <c r="N58" t="s">
        <v>137</v>
      </c>
      <c r="O58">
        <v>8.6999999999999993</v>
      </c>
      <c r="P58" t="s">
        <v>138</v>
      </c>
      <c r="Q58">
        <v>4.0999999999999996</v>
      </c>
      <c r="R58" t="s">
        <v>134</v>
      </c>
      <c r="S58" t="s">
        <v>65</v>
      </c>
      <c r="T58">
        <v>7.8</v>
      </c>
    </row>
    <row r="59" spans="1:20" x14ac:dyDescent="0.3">
      <c r="A59">
        <v>2017</v>
      </c>
      <c r="B59">
        <v>4</v>
      </c>
      <c r="C59" t="s">
        <v>124</v>
      </c>
      <c r="D59" t="s">
        <v>135</v>
      </c>
      <c r="E59">
        <v>12.5</v>
      </c>
      <c r="F59" t="s">
        <v>126</v>
      </c>
      <c r="G59">
        <v>16.2</v>
      </c>
      <c r="H59" t="s">
        <v>136</v>
      </c>
      <c r="I59">
        <v>8.1</v>
      </c>
      <c r="J59" t="s">
        <v>127</v>
      </c>
      <c r="K59">
        <v>5.4</v>
      </c>
      <c r="L59" t="s">
        <v>128</v>
      </c>
      <c r="M59">
        <v>5.7</v>
      </c>
      <c r="N59" t="s">
        <v>137</v>
      </c>
      <c r="O59">
        <v>6.8</v>
      </c>
      <c r="P59" t="s">
        <v>139</v>
      </c>
      <c r="Q59">
        <v>-3.1</v>
      </c>
      <c r="R59" t="s">
        <v>134</v>
      </c>
      <c r="S59" t="s">
        <v>65</v>
      </c>
      <c r="T59">
        <v>7</v>
      </c>
    </row>
    <row r="60" spans="1:20" x14ac:dyDescent="0.3">
      <c r="A60">
        <v>2017</v>
      </c>
      <c r="B60">
        <v>5</v>
      </c>
      <c r="C60" t="s">
        <v>124</v>
      </c>
      <c r="D60" t="s">
        <v>135</v>
      </c>
      <c r="E60">
        <v>8.9</v>
      </c>
      <c r="F60" t="s">
        <v>245</v>
      </c>
      <c r="G60">
        <v>4.2</v>
      </c>
      <c r="H60" t="s">
        <v>246</v>
      </c>
      <c r="I60">
        <v>4.4000000000000004</v>
      </c>
      <c r="J60" t="s">
        <v>127</v>
      </c>
      <c r="K60">
        <v>20.7</v>
      </c>
      <c r="L60" t="s">
        <v>128</v>
      </c>
      <c r="M60">
        <v>11</v>
      </c>
      <c r="N60" t="s">
        <v>137</v>
      </c>
      <c r="O60">
        <v>1.2</v>
      </c>
      <c r="P60" t="s">
        <v>139</v>
      </c>
      <c r="Q60">
        <v>9.8000000000000007</v>
      </c>
      <c r="R60" t="s">
        <v>134</v>
      </c>
      <c r="S60" t="s">
        <v>65</v>
      </c>
      <c r="T60">
        <v>12.9</v>
      </c>
    </row>
    <row r="61" spans="1:20" x14ac:dyDescent="0.3">
      <c r="A61">
        <v>2017</v>
      </c>
      <c r="B61">
        <v>6</v>
      </c>
      <c r="C61" t="s">
        <v>124</v>
      </c>
      <c r="D61" t="s">
        <v>125</v>
      </c>
      <c r="E61">
        <v>11.9</v>
      </c>
      <c r="F61" t="s">
        <v>126</v>
      </c>
      <c r="G61">
        <v>10.1</v>
      </c>
      <c r="H61" t="s">
        <v>246</v>
      </c>
      <c r="I61">
        <v>0.2</v>
      </c>
      <c r="J61" t="s">
        <v>127</v>
      </c>
      <c r="K61">
        <v>25.5</v>
      </c>
      <c r="L61" t="s">
        <v>128</v>
      </c>
      <c r="M61">
        <v>12.3</v>
      </c>
      <c r="N61" t="s">
        <v>137</v>
      </c>
      <c r="O61">
        <v>5.8</v>
      </c>
      <c r="P61" t="s">
        <v>139</v>
      </c>
      <c r="Q61">
        <v>4.5</v>
      </c>
      <c r="R61" t="s">
        <v>134</v>
      </c>
      <c r="S61" t="s">
        <v>65</v>
      </c>
      <c r="T61">
        <v>16.2</v>
      </c>
    </row>
    <row r="62" spans="1:20" x14ac:dyDescent="0.3">
      <c r="A62">
        <v>2017</v>
      </c>
      <c r="B62">
        <v>7</v>
      </c>
      <c r="C62" t="s">
        <v>124</v>
      </c>
      <c r="D62" t="s">
        <v>135</v>
      </c>
      <c r="E62">
        <v>20</v>
      </c>
      <c r="F62" t="s">
        <v>126</v>
      </c>
      <c r="G62">
        <v>1.6</v>
      </c>
      <c r="H62" t="s">
        <v>245</v>
      </c>
      <c r="I62">
        <v>1.2</v>
      </c>
      <c r="J62" t="s">
        <v>127</v>
      </c>
      <c r="K62">
        <v>14.5</v>
      </c>
      <c r="L62" t="s">
        <v>128</v>
      </c>
      <c r="M62">
        <v>14.5</v>
      </c>
      <c r="N62" t="s">
        <v>137</v>
      </c>
      <c r="O62">
        <v>6.3</v>
      </c>
      <c r="P62" t="s">
        <v>139</v>
      </c>
      <c r="Q62">
        <v>10.9</v>
      </c>
      <c r="R62" t="s">
        <v>134</v>
      </c>
      <c r="S62" t="s">
        <v>65</v>
      </c>
      <c r="T62">
        <v>18.8</v>
      </c>
    </row>
    <row r="63" spans="1:20" x14ac:dyDescent="0.3">
      <c r="A63">
        <v>2017</v>
      </c>
      <c r="B63">
        <v>8</v>
      </c>
      <c r="C63" t="s">
        <v>124</v>
      </c>
      <c r="D63" t="s">
        <v>135</v>
      </c>
      <c r="E63">
        <v>16.7</v>
      </c>
      <c r="F63" t="s">
        <v>126</v>
      </c>
      <c r="G63">
        <v>10.9</v>
      </c>
      <c r="H63" t="s">
        <v>245</v>
      </c>
      <c r="I63">
        <v>0.5</v>
      </c>
      <c r="J63" t="s">
        <v>127</v>
      </c>
      <c r="K63">
        <v>9.5</v>
      </c>
      <c r="L63" t="s">
        <v>128</v>
      </c>
      <c r="M63">
        <v>5.0999999999999996</v>
      </c>
      <c r="N63" t="s">
        <v>137</v>
      </c>
      <c r="O63">
        <v>7.6</v>
      </c>
      <c r="P63" t="s">
        <v>193</v>
      </c>
      <c r="Q63">
        <v>4.2</v>
      </c>
      <c r="R63" t="s">
        <v>134</v>
      </c>
      <c r="S63" t="s">
        <v>65</v>
      </c>
      <c r="T63">
        <v>5.8</v>
      </c>
    </row>
    <row r="64" spans="1:20" x14ac:dyDescent="0.3">
      <c r="A64">
        <v>2017</v>
      </c>
      <c r="B64">
        <v>9</v>
      </c>
      <c r="C64" t="s">
        <v>124</v>
      </c>
      <c r="D64" t="s">
        <v>135</v>
      </c>
      <c r="E64">
        <v>26.9</v>
      </c>
      <c r="F64" t="s">
        <v>126</v>
      </c>
      <c r="G64">
        <v>8.9</v>
      </c>
      <c r="H64" t="s">
        <v>245</v>
      </c>
      <c r="I64">
        <v>-0.1</v>
      </c>
      <c r="J64" t="s">
        <v>134</v>
      </c>
      <c r="K64">
        <v>12.2</v>
      </c>
      <c r="L64" t="s">
        <v>144</v>
      </c>
      <c r="M64">
        <v>2.7</v>
      </c>
      <c r="N64" t="s">
        <v>137</v>
      </c>
      <c r="O64">
        <v>7.6</v>
      </c>
      <c r="P64" t="s">
        <v>139</v>
      </c>
      <c r="Q64">
        <v>6</v>
      </c>
      <c r="R64" t="s">
        <v>132</v>
      </c>
      <c r="S64" t="s">
        <v>258</v>
      </c>
      <c r="T64">
        <v>17.399999999999999</v>
      </c>
    </row>
    <row r="65" spans="1:20" x14ac:dyDescent="0.3">
      <c r="A65">
        <v>2017</v>
      </c>
      <c r="B65">
        <v>1</v>
      </c>
      <c r="C65" t="s">
        <v>14</v>
      </c>
      <c r="D65" t="s">
        <v>140</v>
      </c>
      <c r="E65">
        <v>16.5</v>
      </c>
      <c r="F65" t="s">
        <v>141</v>
      </c>
      <c r="G65">
        <v>9.6999999999999993</v>
      </c>
      <c r="H65" t="s">
        <v>142</v>
      </c>
      <c r="I65">
        <v>0.1</v>
      </c>
      <c r="J65" t="s">
        <v>143</v>
      </c>
      <c r="K65">
        <v>10.4</v>
      </c>
      <c r="L65" t="s">
        <v>144</v>
      </c>
      <c r="M65">
        <v>9.6</v>
      </c>
      <c r="N65" t="s">
        <v>112</v>
      </c>
      <c r="O65">
        <v>0</v>
      </c>
      <c r="P65" t="s">
        <v>145</v>
      </c>
      <c r="Q65">
        <v>1.3</v>
      </c>
      <c r="R65" t="s">
        <v>146</v>
      </c>
      <c r="S65" t="s">
        <v>73</v>
      </c>
      <c r="T65">
        <v>8.3000000000000007</v>
      </c>
    </row>
    <row r="66" spans="1:20" x14ac:dyDescent="0.3">
      <c r="A66">
        <v>2017</v>
      </c>
      <c r="B66">
        <v>2</v>
      </c>
      <c r="C66" t="s">
        <v>14</v>
      </c>
      <c r="D66" t="s">
        <v>140</v>
      </c>
      <c r="E66">
        <v>18.5</v>
      </c>
      <c r="F66" t="s">
        <v>141</v>
      </c>
      <c r="G66">
        <v>11.4</v>
      </c>
      <c r="H66" t="s">
        <v>146</v>
      </c>
      <c r="I66">
        <v>13.6</v>
      </c>
      <c r="J66" t="s">
        <v>143</v>
      </c>
      <c r="K66">
        <v>3.6</v>
      </c>
      <c r="L66" t="s">
        <v>144</v>
      </c>
      <c r="M66">
        <v>4.0999999999999996</v>
      </c>
      <c r="N66" t="s">
        <v>147</v>
      </c>
      <c r="O66">
        <v>4.7</v>
      </c>
      <c r="P66" t="s">
        <v>145</v>
      </c>
      <c r="Q66">
        <v>8.6999999999999993</v>
      </c>
      <c r="R66" t="s">
        <v>148</v>
      </c>
      <c r="S66" t="s">
        <v>65</v>
      </c>
      <c r="T66">
        <v>4.7</v>
      </c>
    </row>
    <row r="67" spans="1:20" x14ac:dyDescent="0.3">
      <c r="A67">
        <v>2017</v>
      </c>
      <c r="B67">
        <v>3</v>
      </c>
      <c r="C67" t="s">
        <v>14</v>
      </c>
      <c r="D67" t="s">
        <v>140</v>
      </c>
      <c r="E67">
        <v>24.8</v>
      </c>
      <c r="F67" t="s">
        <v>141</v>
      </c>
      <c r="G67">
        <v>3.1</v>
      </c>
      <c r="H67" t="s">
        <v>146</v>
      </c>
      <c r="I67">
        <v>3.3</v>
      </c>
      <c r="J67" t="s">
        <v>143</v>
      </c>
      <c r="K67">
        <v>27.4</v>
      </c>
      <c r="L67" t="s">
        <v>144</v>
      </c>
      <c r="M67">
        <v>2.9</v>
      </c>
      <c r="N67" t="s">
        <v>147</v>
      </c>
      <c r="O67">
        <v>2.9</v>
      </c>
      <c r="P67" t="s">
        <v>145</v>
      </c>
      <c r="Q67">
        <v>9.8000000000000007</v>
      </c>
      <c r="R67" t="s">
        <v>148</v>
      </c>
      <c r="S67" t="s">
        <v>65</v>
      </c>
      <c r="T67">
        <v>6.9</v>
      </c>
    </row>
    <row r="68" spans="1:20" x14ac:dyDescent="0.3">
      <c r="A68">
        <v>2017</v>
      </c>
      <c r="B68">
        <v>4</v>
      </c>
      <c r="C68" t="s">
        <v>14</v>
      </c>
      <c r="D68" t="s">
        <v>140</v>
      </c>
      <c r="E68">
        <v>23.1</v>
      </c>
      <c r="F68" t="s">
        <v>141</v>
      </c>
      <c r="G68">
        <v>1.2</v>
      </c>
      <c r="H68" t="s">
        <v>149</v>
      </c>
      <c r="I68">
        <v>7.8</v>
      </c>
      <c r="J68" t="s">
        <v>143</v>
      </c>
      <c r="K68">
        <v>11.2</v>
      </c>
      <c r="L68" t="s">
        <v>144</v>
      </c>
      <c r="M68">
        <v>14.5</v>
      </c>
      <c r="N68" t="s">
        <v>150</v>
      </c>
      <c r="O68">
        <v>0</v>
      </c>
      <c r="P68" t="s">
        <v>145</v>
      </c>
      <c r="Q68">
        <v>8.1999999999999993</v>
      </c>
      <c r="R68" t="s">
        <v>151</v>
      </c>
      <c r="S68" t="s">
        <v>65</v>
      </c>
      <c r="T68">
        <v>2.7</v>
      </c>
    </row>
    <row r="69" spans="1:20" x14ac:dyDescent="0.3">
      <c r="A69">
        <v>2017</v>
      </c>
      <c r="B69">
        <v>5</v>
      </c>
      <c r="C69" t="s">
        <v>14</v>
      </c>
      <c r="D69" t="s">
        <v>140</v>
      </c>
      <c r="E69">
        <v>24</v>
      </c>
      <c r="F69" t="s">
        <v>146</v>
      </c>
      <c r="G69">
        <v>9.5</v>
      </c>
      <c r="H69" t="s">
        <v>247</v>
      </c>
      <c r="I69">
        <v>19.899999999999999</v>
      </c>
      <c r="J69" t="s">
        <v>143</v>
      </c>
      <c r="K69">
        <v>8.1</v>
      </c>
      <c r="L69" t="s">
        <v>248</v>
      </c>
      <c r="M69">
        <v>11.7</v>
      </c>
      <c r="N69" t="s">
        <v>150</v>
      </c>
      <c r="O69">
        <v>1.9</v>
      </c>
      <c r="P69" t="s">
        <v>145</v>
      </c>
      <c r="Q69">
        <v>7.7</v>
      </c>
      <c r="R69" t="s">
        <v>249</v>
      </c>
      <c r="S69" t="s">
        <v>65</v>
      </c>
      <c r="T69">
        <v>4.8</v>
      </c>
    </row>
    <row r="70" spans="1:20" x14ac:dyDescent="0.3">
      <c r="A70">
        <v>2017</v>
      </c>
      <c r="B70">
        <v>6</v>
      </c>
      <c r="C70" t="s">
        <v>14</v>
      </c>
      <c r="D70" t="s">
        <v>140</v>
      </c>
      <c r="E70">
        <v>0.7</v>
      </c>
      <c r="F70" t="s">
        <v>141</v>
      </c>
      <c r="G70">
        <v>6.3</v>
      </c>
      <c r="H70" t="s">
        <v>247</v>
      </c>
      <c r="I70">
        <v>4.7</v>
      </c>
      <c r="J70" t="s">
        <v>143</v>
      </c>
      <c r="K70">
        <v>22.8</v>
      </c>
      <c r="L70" t="s">
        <v>248</v>
      </c>
      <c r="M70">
        <v>5.5</v>
      </c>
      <c r="N70" t="s">
        <v>270</v>
      </c>
      <c r="O70">
        <v>5.6</v>
      </c>
      <c r="P70" t="s">
        <v>145</v>
      </c>
      <c r="Q70">
        <v>1.5</v>
      </c>
      <c r="R70" t="s">
        <v>146</v>
      </c>
      <c r="S70" t="s">
        <v>73</v>
      </c>
      <c r="T70">
        <v>6.5</v>
      </c>
    </row>
    <row r="71" spans="1:20" x14ac:dyDescent="0.3">
      <c r="A71">
        <v>2017</v>
      </c>
      <c r="B71">
        <v>7</v>
      </c>
      <c r="C71" t="s">
        <v>14</v>
      </c>
      <c r="D71" t="s">
        <v>284</v>
      </c>
      <c r="E71">
        <v>11.9</v>
      </c>
      <c r="F71" t="s">
        <v>141</v>
      </c>
      <c r="G71">
        <v>0.9</v>
      </c>
      <c r="H71" t="s">
        <v>247</v>
      </c>
      <c r="I71">
        <v>21.3</v>
      </c>
      <c r="J71" t="s">
        <v>143</v>
      </c>
      <c r="K71">
        <v>4.4000000000000004</v>
      </c>
      <c r="L71" t="s">
        <v>248</v>
      </c>
      <c r="M71">
        <v>3.2</v>
      </c>
      <c r="N71" t="s">
        <v>270</v>
      </c>
      <c r="O71">
        <v>3.3</v>
      </c>
      <c r="P71" t="s">
        <v>145</v>
      </c>
      <c r="Q71">
        <v>-3.1</v>
      </c>
      <c r="R71" t="s">
        <v>148</v>
      </c>
      <c r="S71" t="s">
        <v>65</v>
      </c>
      <c r="T71">
        <v>0</v>
      </c>
    </row>
    <row r="72" spans="1:20" x14ac:dyDescent="0.3">
      <c r="A72">
        <v>2017</v>
      </c>
      <c r="B72">
        <v>8</v>
      </c>
      <c r="C72" t="s">
        <v>14</v>
      </c>
      <c r="D72" t="s">
        <v>285</v>
      </c>
      <c r="E72">
        <v>9.9</v>
      </c>
      <c r="F72" t="s">
        <v>146</v>
      </c>
      <c r="G72">
        <v>11.2</v>
      </c>
      <c r="H72" t="s">
        <v>286</v>
      </c>
      <c r="I72">
        <v>2.6</v>
      </c>
      <c r="J72" t="s">
        <v>249</v>
      </c>
      <c r="K72">
        <v>14.9</v>
      </c>
      <c r="L72" t="s">
        <v>248</v>
      </c>
      <c r="M72">
        <v>2.4</v>
      </c>
      <c r="N72" t="s">
        <v>270</v>
      </c>
      <c r="O72">
        <v>4.4000000000000004</v>
      </c>
      <c r="P72" t="s">
        <v>145</v>
      </c>
      <c r="Q72">
        <v>18.7</v>
      </c>
      <c r="R72" t="s">
        <v>144</v>
      </c>
      <c r="S72" t="s">
        <v>65</v>
      </c>
      <c r="T72">
        <v>0</v>
      </c>
    </row>
    <row r="73" spans="1:20" x14ac:dyDescent="0.3">
      <c r="A73">
        <v>2017</v>
      </c>
      <c r="B73">
        <v>9</v>
      </c>
      <c r="C73" t="s">
        <v>14</v>
      </c>
      <c r="D73" t="s">
        <v>253</v>
      </c>
      <c r="E73">
        <v>16.899999999999999</v>
      </c>
      <c r="F73" t="s">
        <v>141</v>
      </c>
      <c r="G73">
        <v>19.3</v>
      </c>
      <c r="H73" t="s">
        <v>297</v>
      </c>
      <c r="I73">
        <v>0</v>
      </c>
      <c r="J73" t="s">
        <v>143</v>
      </c>
      <c r="K73">
        <v>9.5</v>
      </c>
      <c r="L73" t="s">
        <v>283</v>
      </c>
      <c r="M73">
        <v>9.8000000000000007</v>
      </c>
      <c r="N73" t="s">
        <v>270</v>
      </c>
      <c r="O73">
        <v>0</v>
      </c>
      <c r="P73" t="s">
        <v>298</v>
      </c>
      <c r="Q73">
        <v>3.4</v>
      </c>
      <c r="R73" t="s">
        <v>299</v>
      </c>
      <c r="S73" t="s">
        <v>65</v>
      </c>
      <c r="T73">
        <v>4.3</v>
      </c>
    </row>
    <row r="74" spans="1:20" x14ac:dyDescent="0.3">
      <c r="A74">
        <v>2017</v>
      </c>
      <c r="B74">
        <v>1</v>
      </c>
      <c r="C74" t="s">
        <v>16</v>
      </c>
      <c r="D74" t="s">
        <v>152</v>
      </c>
      <c r="E74">
        <v>17.100000000000001</v>
      </c>
      <c r="F74" t="s">
        <v>153</v>
      </c>
      <c r="G74">
        <v>14.1</v>
      </c>
      <c r="H74" t="s">
        <v>154</v>
      </c>
      <c r="I74">
        <v>10.6</v>
      </c>
      <c r="J74" t="s">
        <v>155</v>
      </c>
      <c r="K74">
        <v>23.3</v>
      </c>
      <c r="L74" t="s">
        <v>156</v>
      </c>
      <c r="M74">
        <v>13</v>
      </c>
      <c r="N74" t="s">
        <v>157</v>
      </c>
      <c r="O74">
        <v>13.3</v>
      </c>
      <c r="P74" t="s">
        <v>158</v>
      </c>
      <c r="Q74">
        <v>7</v>
      </c>
      <c r="R74" t="s">
        <v>159</v>
      </c>
      <c r="S74" t="s">
        <v>65</v>
      </c>
      <c r="T74">
        <v>1.5</v>
      </c>
    </row>
    <row r="75" spans="1:20" x14ac:dyDescent="0.3">
      <c r="A75">
        <v>2017</v>
      </c>
      <c r="B75">
        <v>2</v>
      </c>
      <c r="C75" t="s">
        <v>16</v>
      </c>
      <c r="D75" t="s">
        <v>152</v>
      </c>
      <c r="E75">
        <v>15.9</v>
      </c>
      <c r="F75" t="s">
        <v>153</v>
      </c>
      <c r="G75">
        <v>0.7</v>
      </c>
      <c r="H75" t="s">
        <v>154</v>
      </c>
      <c r="I75">
        <v>10.199999999999999</v>
      </c>
      <c r="J75" t="s">
        <v>155</v>
      </c>
      <c r="K75">
        <v>6.9</v>
      </c>
      <c r="L75" t="s">
        <v>156</v>
      </c>
      <c r="M75">
        <v>10</v>
      </c>
      <c r="N75" t="s">
        <v>157</v>
      </c>
      <c r="O75">
        <v>12.2</v>
      </c>
      <c r="P75" t="s">
        <v>158</v>
      </c>
      <c r="Q75">
        <v>8.6</v>
      </c>
      <c r="R75" t="s">
        <v>159</v>
      </c>
      <c r="S75" t="s">
        <v>65</v>
      </c>
      <c r="T75">
        <v>2.2000000000000002</v>
      </c>
    </row>
    <row r="76" spans="1:20" x14ac:dyDescent="0.3">
      <c r="A76">
        <v>2017</v>
      </c>
      <c r="B76">
        <v>3</v>
      </c>
      <c r="C76" t="s">
        <v>16</v>
      </c>
      <c r="D76" t="s">
        <v>152</v>
      </c>
      <c r="E76">
        <v>22.9</v>
      </c>
      <c r="F76" t="s">
        <v>154</v>
      </c>
      <c r="G76">
        <v>6.8</v>
      </c>
      <c r="H76" t="s">
        <v>160</v>
      </c>
      <c r="I76">
        <v>27.8</v>
      </c>
      <c r="J76" t="s">
        <v>155</v>
      </c>
      <c r="K76">
        <v>17.5</v>
      </c>
      <c r="L76" t="s">
        <v>161</v>
      </c>
      <c r="M76">
        <v>0</v>
      </c>
      <c r="N76" t="s">
        <v>157</v>
      </c>
      <c r="O76">
        <v>13.5</v>
      </c>
      <c r="P76" t="s">
        <v>158</v>
      </c>
      <c r="Q76">
        <v>1.1000000000000001</v>
      </c>
      <c r="R76" t="s">
        <v>222</v>
      </c>
      <c r="S76" t="s">
        <v>73</v>
      </c>
      <c r="T76">
        <v>1.1000000000000001</v>
      </c>
    </row>
    <row r="77" spans="1:20" x14ac:dyDescent="0.3">
      <c r="A77">
        <v>2017</v>
      </c>
      <c r="B77">
        <v>4</v>
      </c>
      <c r="C77" t="s">
        <v>16</v>
      </c>
      <c r="D77" t="s">
        <v>152</v>
      </c>
      <c r="E77">
        <v>22.6</v>
      </c>
      <c r="F77" t="s">
        <v>154</v>
      </c>
      <c r="G77">
        <v>27.1</v>
      </c>
      <c r="H77" t="s">
        <v>160</v>
      </c>
      <c r="I77">
        <v>1.2</v>
      </c>
      <c r="J77" t="s">
        <v>155</v>
      </c>
      <c r="K77">
        <v>6</v>
      </c>
      <c r="L77" t="s">
        <v>156</v>
      </c>
      <c r="M77">
        <v>12.4</v>
      </c>
      <c r="N77" t="s">
        <v>157</v>
      </c>
      <c r="O77">
        <v>10.6</v>
      </c>
      <c r="P77" t="s">
        <v>158</v>
      </c>
      <c r="Q77">
        <v>6.5</v>
      </c>
      <c r="R77" t="s">
        <v>153</v>
      </c>
      <c r="S77" t="s">
        <v>73</v>
      </c>
      <c r="T77">
        <v>13.3</v>
      </c>
    </row>
    <row r="78" spans="1:20" x14ac:dyDescent="0.3">
      <c r="A78">
        <v>2017</v>
      </c>
      <c r="B78">
        <v>5</v>
      </c>
      <c r="C78" t="s">
        <v>16</v>
      </c>
      <c r="D78" t="s">
        <v>152</v>
      </c>
      <c r="E78">
        <v>29.7</v>
      </c>
      <c r="F78" t="s">
        <v>153</v>
      </c>
      <c r="G78">
        <v>7.6</v>
      </c>
      <c r="H78" t="s">
        <v>154</v>
      </c>
      <c r="I78">
        <v>9.9</v>
      </c>
      <c r="J78" t="s">
        <v>155</v>
      </c>
      <c r="K78">
        <v>14.8</v>
      </c>
      <c r="L78" t="s">
        <v>156</v>
      </c>
      <c r="M78">
        <v>4.9000000000000004</v>
      </c>
      <c r="N78" t="s">
        <v>157</v>
      </c>
      <c r="O78">
        <v>15.1</v>
      </c>
      <c r="P78" t="s">
        <v>133</v>
      </c>
      <c r="Q78">
        <v>-1.1000000000000001</v>
      </c>
      <c r="R78" t="s">
        <v>104</v>
      </c>
      <c r="S78" t="s">
        <v>65</v>
      </c>
      <c r="T78">
        <v>6.6</v>
      </c>
    </row>
    <row r="79" spans="1:20" x14ac:dyDescent="0.3">
      <c r="A79">
        <v>2017</v>
      </c>
      <c r="B79">
        <v>6</v>
      </c>
      <c r="C79" t="s">
        <v>16</v>
      </c>
      <c r="D79" t="s">
        <v>271</v>
      </c>
      <c r="E79">
        <v>9.9</v>
      </c>
      <c r="F79" t="s">
        <v>153</v>
      </c>
      <c r="G79">
        <v>18.100000000000001</v>
      </c>
      <c r="H79" t="s">
        <v>154</v>
      </c>
      <c r="I79">
        <v>9.6</v>
      </c>
      <c r="J79" t="s">
        <v>155</v>
      </c>
      <c r="K79">
        <v>5</v>
      </c>
      <c r="L79" t="s">
        <v>156</v>
      </c>
      <c r="M79">
        <v>4.3</v>
      </c>
      <c r="N79" t="s">
        <v>157</v>
      </c>
      <c r="O79">
        <v>14.8</v>
      </c>
      <c r="P79" t="s">
        <v>158</v>
      </c>
      <c r="Q79">
        <v>3.4</v>
      </c>
      <c r="R79" t="s">
        <v>160</v>
      </c>
      <c r="S79" t="s">
        <v>73</v>
      </c>
      <c r="T79">
        <v>15.8</v>
      </c>
    </row>
    <row r="80" spans="1:20" x14ac:dyDescent="0.3">
      <c r="A80">
        <v>2017</v>
      </c>
      <c r="B80">
        <v>7</v>
      </c>
      <c r="C80" t="s">
        <v>16</v>
      </c>
      <c r="D80" t="s">
        <v>152</v>
      </c>
      <c r="E80">
        <v>30</v>
      </c>
      <c r="F80" t="s">
        <v>153</v>
      </c>
      <c r="G80">
        <v>6.5</v>
      </c>
      <c r="H80" t="s">
        <v>287</v>
      </c>
      <c r="I80">
        <v>7.2</v>
      </c>
      <c r="J80" t="s">
        <v>155</v>
      </c>
      <c r="K80">
        <v>22.2</v>
      </c>
      <c r="L80" t="s">
        <v>151</v>
      </c>
      <c r="M80">
        <v>8.8000000000000007</v>
      </c>
      <c r="N80" t="s">
        <v>157</v>
      </c>
      <c r="O80">
        <v>17.399999999999999</v>
      </c>
      <c r="P80" t="s">
        <v>138</v>
      </c>
      <c r="Q80">
        <v>7.1</v>
      </c>
      <c r="R80" t="s">
        <v>160</v>
      </c>
      <c r="S80" t="s">
        <v>73</v>
      </c>
      <c r="T80">
        <v>14.9</v>
      </c>
    </row>
    <row r="81" spans="1:20" x14ac:dyDescent="0.3">
      <c r="A81">
        <v>2017</v>
      </c>
      <c r="B81">
        <v>8</v>
      </c>
      <c r="C81" t="s">
        <v>16</v>
      </c>
      <c r="D81" t="s">
        <v>152</v>
      </c>
      <c r="E81">
        <v>7.3</v>
      </c>
      <c r="F81" t="s">
        <v>153</v>
      </c>
      <c r="G81">
        <v>13.6</v>
      </c>
      <c r="H81" t="s">
        <v>287</v>
      </c>
      <c r="I81">
        <v>23.2</v>
      </c>
      <c r="J81" t="s">
        <v>155</v>
      </c>
      <c r="K81">
        <v>2.8</v>
      </c>
      <c r="L81" t="s">
        <v>104</v>
      </c>
      <c r="M81">
        <v>3.3</v>
      </c>
      <c r="N81" t="s">
        <v>157</v>
      </c>
      <c r="O81">
        <v>11.4</v>
      </c>
      <c r="P81" t="s">
        <v>138</v>
      </c>
      <c r="Q81">
        <v>1.6</v>
      </c>
      <c r="R81" t="s">
        <v>160</v>
      </c>
      <c r="S81" t="s">
        <v>73</v>
      </c>
      <c r="T81">
        <v>11.4</v>
      </c>
    </row>
    <row r="82" spans="1:20" x14ac:dyDescent="0.3">
      <c r="A82">
        <v>2017</v>
      </c>
      <c r="B82">
        <v>9</v>
      </c>
      <c r="C82" t="s">
        <v>16</v>
      </c>
      <c r="D82" t="s">
        <v>152</v>
      </c>
      <c r="E82">
        <v>26.7</v>
      </c>
      <c r="F82" t="s">
        <v>154</v>
      </c>
      <c r="G82">
        <v>10.6</v>
      </c>
      <c r="H82" t="s">
        <v>160</v>
      </c>
      <c r="I82">
        <v>5.0999999999999996</v>
      </c>
      <c r="J82" t="s">
        <v>155</v>
      </c>
      <c r="K82">
        <v>14.3</v>
      </c>
      <c r="L82" t="s">
        <v>151</v>
      </c>
      <c r="M82">
        <v>21</v>
      </c>
      <c r="N82" t="s">
        <v>192</v>
      </c>
      <c r="O82">
        <v>1.4</v>
      </c>
      <c r="P82" t="s">
        <v>158</v>
      </c>
      <c r="Q82">
        <v>10.8</v>
      </c>
      <c r="R82" t="s">
        <v>156</v>
      </c>
      <c r="S82" t="s">
        <v>65</v>
      </c>
      <c r="T82">
        <v>8.4</v>
      </c>
    </row>
    <row r="83" spans="1:20" x14ac:dyDescent="0.3">
      <c r="A83">
        <v>2017</v>
      </c>
      <c r="B83">
        <v>1</v>
      </c>
      <c r="C83" t="s">
        <v>9</v>
      </c>
      <c r="D83" t="s">
        <v>162</v>
      </c>
      <c r="E83">
        <v>17.899999999999999</v>
      </c>
      <c r="F83" t="s">
        <v>163</v>
      </c>
      <c r="G83">
        <v>10.7</v>
      </c>
      <c r="H83" t="s">
        <v>164</v>
      </c>
      <c r="I83">
        <v>0.9</v>
      </c>
      <c r="J83" t="s">
        <v>165</v>
      </c>
      <c r="K83">
        <v>15</v>
      </c>
      <c r="L83" t="s">
        <v>166</v>
      </c>
      <c r="M83">
        <v>6.2</v>
      </c>
      <c r="N83" t="s">
        <v>167</v>
      </c>
      <c r="O83">
        <v>10.1</v>
      </c>
      <c r="P83" t="s">
        <v>168</v>
      </c>
      <c r="Q83">
        <v>6.7</v>
      </c>
      <c r="R83" t="s">
        <v>169</v>
      </c>
      <c r="S83" t="s">
        <v>65</v>
      </c>
      <c r="T83">
        <v>4.0999999999999996</v>
      </c>
    </row>
    <row r="84" spans="1:20" x14ac:dyDescent="0.3">
      <c r="A84">
        <v>2017</v>
      </c>
      <c r="B84">
        <v>2</v>
      </c>
      <c r="C84" t="s">
        <v>9</v>
      </c>
      <c r="D84" t="s">
        <v>162</v>
      </c>
      <c r="E84">
        <v>14.9</v>
      </c>
      <c r="F84" t="s">
        <v>170</v>
      </c>
      <c r="G84">
        <v>13.6</v>
      </c>
      <c r="H84" t="s">
        <v>163</v>
      </c>
      <c r="I84">
        <v>15.8</v>
      </c>
      <c r="J84" t="s">
        <v>165</v>
      </c>
      <c r="K84">
        <v>10.8</v>
      </c>
      <c r="L84" t="s">
        <v>166</v>
      </c>
      <c r="M84">
        <v>19.899999999999999</v>
      </c>
      <c r="N84" t="s">
        <v>167</v>
      </c>
      <c r="O84">
        <v>6.5</v>
      </c>
      <c r="P84" t="s">
        <v>168</v>
      </c>
      <c r="Q84">
        <v>13.9</v>
      </c>
      <c r="R84" t="s">
        <v>169</v>
      </c>
      <c r="S84" t="s">
        <v>65</v>
      </c>
      <c r="T84">
        <v>21.2</v>
      </c>
    </row>
    <row r="85" spans="1:20" x14ac:dyDescent="0.3">
      <c r="A85">
        <v>2017</v>
      </c>
      <c r="B85">
        <v>3</v>
      </c>
      <c r="C85" t="s">
        <v>9</v>
      </c>
      <c r="D85" t="s">
        <v>162</v>
      </c>
      <c r="E85">
        <v>13.7</v>
      </c>
      <c r="F85" t="s">
        <v>170</v>
      </c>
      <c r="G85">
        <v>3.5</v>
      </c>
      <c r="H85" t="s">
        <v>163</v>
      </c>
      <c r="I85">
        <v>22.9</v>
      </c>
      <c r="J85" t="s">
        <v>165</v>
      </c>
      <c r="K85">
        <v>11.1</v>
      </c>
      <c r="L85" t="s">
        <v>166</v>
      </c>
      <c r="M85">
        <v>7.5</v>
      </c>
      <c r="N85" t="s">
        <v>167</v>
      </c>
      <c r="O85">
        <v>0.9</v>
      </c>
      <c r="P85" t="s">
        <v>168</v>
      </c>
      <c r="Q85">
        <v>4.4000000000000004</v>
      </c>
      <c r="R85" t="s">
        <v>169</v>
      </c>
      <c r="S85" t="s">
        <v>65</v>
      </c>
      <c r="T85">
        <v>11</v>
      </c>
    </row>
    <row r="86" spans="1:20" x14ac:dyDescent="0.3">
      <c r="A86">
        <v>2017</v>
      </c>
      <c r="B86">
        <v>4</v>
      </c>
      <c r="C86" t="s">
        <v>9</v>
      </c>
      <c r="D86" t="s">
        <v>162</v>
      </c>
      <c r="E86">
        <v>8.5</v>
      </c>
      <c r="F86" t="s">
        <v>170</v>
      </c>
      <c r="G86">
        <v>5.9</v>
      </c>
      <c r="H86" t="s">
        <v>163</v>
      </c>
      <c r="I86">
        <v>12</v>
      </c>
      <c r="J86" t="s">
        <v>165</v>
      </c>
      <c r="K86">
        <v>21.7</v>
      </c>
      <c r="L86" t="s">
        <v>166</v>
      </c>
      <c r="M86">
        <v>8.3000000000000007</v>
      </c>
      <c r="N86" t="s">
        <v>171</v>
      </c>
      <c r="O86">
        <v>13.7</v>
      </c>
      <c r="P86" t="s">
        <v>168</v>
      </c>
      <c r="Q86">
        <v>8.3000000000000007</v>
      </c>
      <c r="R86" t="s">
        <v>169</v>
      </c>
      <c r="S86" t="s">
        <v>65</v>
      </c>
      <c r="T86">
        <v>4.7</v>
      </c>
    </row>
    <row r="87" spans="1:20" x14ac:dyDescent="0.3">
      <c r="A87">
        <v>2017</v>
      </c>
      <c r="B87">
        <v>5</v>
      </c>
      <c r="C87" t="s">
        <v>9</v>
      </c>
      <c r="D87" t="s">
        <v>250</v>
      </c>
      <c r="E87">
        <v>15.6</v>
      </c>
      <c r="F87" t="s">
        <v>170</v>
      </c>
      <c r="G87">
        <v>6.9</v>
      </c>
      <c r="H87" t="s">
        <v>163</v>
      </c>
      <c r="I87">
        <v>2.2999999999999998</v>
      </c>
      <c r="J87" t="s">
        <v>165</v>
      </c>
      <c r="K87">
        <v>25.2</v>
      </c>
      <c r="L87" t="s">
        <v>166</v>
      </c>
      <c r="M87">
        <v>22.1</v>
      </c>
      <c r="N87" t="s">
        <v>171</v>
      </c>
      <c r="O87">
        <v>4.0999999999999996</v>
      </c>
      <c r="P87" t="s">
        <v>109</v>
      </c>
      <c r="Q87">
        <v>13.4</v>
      </c>
      <c r="R87" t="s">
        <v>251</v>
      </c>
      <c r="S87" t="s">
        <v>65</v>
      </c>
      <c r="T87">
        <v>7</v>
      </c>
    </row>
    <row r="88" spans="1:20" x14ac:dyDescent="0.3">
      <c r="A88">
        <v>2017</v>
      </c>
      <c r="B88">
        <v>6</v>
      </c>
      <c r="C88" t="s">
        <v>9</v>
      </c>
      <c r="D88" t="s">
        <v>162</v>
      </c>
      <c r="E88">
        <v>11.9</v>
      </c>
      <c r="F88" t="s">
        <v>170</v>
      </c>
      <c r="G88">
        <v>13</v>
      </c>
      <c r="H88" t="s">
        <v>163</v>
      </c>
      <c r="I88">
        <v>22</v>
      </c>
      <c r="J88" t="s">
        <v>165</v>
      </c>
      <c r="K88">
        <v>8.9</v>
      </c>
      <c r="L88" t="s">
        <v>166</v>
      </c>
      <c r="M88">
        <v>13.9</v>
      </c>
      <c r="N88" t="s">
        <v>167</v>
      </c>
      <c r="O88">
        <v>7.2</v>
      </c>
      <c r="P88" t="s">
        <v>109</v>
      </c>
      <c r="Q88">
        <v>19.8</v>
      </c>
      <c r="R88" t="s">
        <v>251</v>
      </c>
      <c r="S88" t="s">
        <v>65</v>
      </c>
      <c r="T88">
        <v>14.1</v>
      </c>
    </row>
    <row r="89" spans="1:20" x14ac:dyDescent="0.3">
      <c r="A89">
        <v>2017</v>
      </c>
      <c r="B89">
        <v>7</v>
      </c>
      <c r="C89" t="s">
        <v>9</v>
      </c>
      <c r="D89" t="s">
        <v>250</v>
      </c>
      <c r="E89">
        <v>2.9</v>
      </c>
      <c r="F89" t="s">
        <v>170</v>
      </c>
      <c r="G89">
        <v>9.1999999999999993</v>
      </c>
      <c r="H89" t="s">
        <v>163</v>
      </c>
      <c r="I89">
        <v>10.8</v>
      </c>
      <c r="J89" t="s">
        <v>166</v>
      </c>
      <c r="K89">
        <v>2.2000000000000002</v>
      </c>
      <c r="L89" t="s">
        <v>251</v>
      </c>
      <c r="M89">
        <v>6.6</v>
      </c>
      <c r="N89" t="s">
        <v>167</v>
      </c>
      <c r="O89">
        <v>6.8</v>
      </c>
      <c r="P89" t="s">
        <v>168</v>
      </c>
      <c r="Q89">
        <v>4.8</v>
      </c>
      <c r="R89" t="s">
        <v>288</v>
      </c>
      <c r="S89" t="s">
        <v>258</v>
      </c>
      <c r="T89">
        <v>1.1000000000000001</v>
      </c>
    </row>
    <row r="90" spans="1:20" x14ac:dyDescent="0.3">
      <c r="A90">
        <v>2017</v>
      </c>
      <c r="B90">
        <v>8</v>
      </c>
      <c r="C90" t="s">
        <v>9</v>
      </c>
      <c r="D90" t="s">
        <v>162</v>
      </c>
      <c r="E90">
        <v>15.9</v>
      </c>
      <c r="F90" t="s">
        <v>170</v>
      </c>
      <c r="G90">
        <v>6.1</v>
      </c>
      <c r="H90" t="s">
        <v>163</v>
      </c>
      <c r="I90">
        <v>6.7</v>
      </c>
      <c r="J90" t="s">
        <v>165</v>
      </c>
      <c r="K90">
        <v>32.4</v>
      </c>
      <c r="L90" t="s">
        <v>251</v>
      </c>
      <c r="M90">
        <v>18.3</v>
      </c>
      <c r="N90" t="s">
        <v>167</v>
      </c>
      <c r="O90">
        <v>11.7</v>
      </c>
      <c r="P90" t="s">
        <v>109</v>
      </c>
      <c r="Q90">
        <v>25.1</v>
      </c>
      <c r="R90" t="s">
        <v>288</v>
      </c>
      <c r="S90" t="s">
        <v>258</v>
      </c>
      <c r="T90">
        <v>12.7</v>
      </c>
    </row>
    <row r="91" spans="1:20" x14ac:dyDescent="0.3">
      <c r="A91">
        <v>2017</v>
      </c>
      <c r="B91">
        <v>9</v>
      </c>
      <c r="C91" t="s">
        <v>9</v>
      </c>
      <c r="D91" t="s">
        <v>242</v>
      </c>
      <c r="E91">
        <v>19.5</v>
      </c>
      <c r="F91" t="s">
        <v>170</v>
      </c>
      <c r="G91">
        <v>13.7</v>
      </c>
      <c r="H91" t="s">
        <v>197</v>
      </c>
      <c r="I91">
        <v>1.3</v>
      </c>
      <c r="J91" t="s">
        <v>165</v>
      </c>
      <c r="K91">
        <v>17.600000000000001</v>
      </c>
      <c r="L91" t="s">
        <v>166</v>
      </c>
      <c r="M91">
        <v>8.8000000000000007</v>
      </c>
      <c r="N91" t="s">
        <v>288</v>
      </c>
      <c r="O91">
        <v>5.0999999999999996</v>
      </c>
      <c r="P91" t="s">
        <v>109</v>
      </c>
      <c r="Q91">
        <v>6.2</v>
      </c>
      <c r="R91" t="s">
        <v>169</v>
      </c>
      <c r="S91" t="s">
        <v>65</v>
      </c>
      <c r="T91">
        <v>3.5</v>
      </c>
    </row>
    <row r="92" spans="1:20" x14ac:dyDescent="0.3">
      <c r="A92">
        <v>2017</v>
      </c>
      <c r="B92">
        <v>1</v>
      </c>
      <c r="C92" t="s">
        <v>12</v>
      </c>
      <c r="D92" t="s">
        <v>172</v>
      </c>
      <c r="E92">
        <v>25.5</v>
      </c>
      <c r="F92" t="s">
        <v>173</v>
      </c>
      <c r="G92">
        <v>15.2</v>
      </c>
      <c r="H92" t="s">
        <v>174</v>
      </c>
      <c r="I92">
        <v>5.7</v>
      </c>
      <c r="J92" t="s">
        <v>175</v>
      </c>
      <c r="K92">
        <v>7</v>
      </c>
      <c r="L92" t="s">
        <v>176</v>
      </c>
      <c r="M92">
        <v>4.7</v>
      </c>
      <c r="N92" t="s">
        <v>177</v>
      </c>
      <c r="O92">
        <v>6.1</v>
      </c>
      <c r="P92" t="s">
        <v>178</v>
      </c>
      <c r="Q92">
        <v>4.4000000000000004</v>
      </c>
      <c r="R92" t="s">
        <v>179</v>
      </c>
      <c r="S92" t="s">
        <v>65</v>
      </c>
      <c r="T92">
        <v>9.6</v>
      </c>
    </row>
    <row r="93" spans="1:20" x14ac:dyDescent="0.3">
      <c r="A93">
        <v>2017</v>
      </c>
      <c r="B93">
        <v>2</v>
      </c>
      <c r="C93" t="s">
        <v>12</v>
      </c>
      <c r="D93" t="s">
        <v>180</v>
      </c>
      <c r="E93">
        <v>22.6</v>
      </c>
      <c r="F93" t="s">
        <v>173</v>
      </c>
      <c r="G93">
        <v>7.4</v>
      </c>
      <c r="H93" t="s">
        <v>174</v>
      </c>
      <c r="I93">
        <v>10.6</v>
      </c>
      <c r="J93" t="s">
        <v>181</v>
      </c>
      <c r="K93">
        <v>18.8</v>
      </c>
      <c r="L93" t="s">
        <v>175</v>
      </c>
      <c r="M93">
        <v>11.4</v>
      </c>
      <c r="N93" t="s">
        <v>177</v>
      </c>
      <c r="O93">
        <v>7.8</v>
      </c>
      <c r="P93" t="s">
        <v>178</v>
      </c>
      <c r="Q93">
        <v>5.6</v>
      </c>
      <c r="R93" t="s">
        <v>182</v>
      </c>
      <c r="S93" t="s">
        <v>65</v>
      </c>
      <c r="T93">
        <v>4.8</v>
      </c>
    </row>
    <row r="94" spans="1:20" x14ac:dyDescent="0.3">
      <c r="A94">
        <v>2017</v>
      </c>
      <c r="B94">
        <v>3</v>
      </c>
      <c r="C94" t="s">
        <v>12</v>
      </c>
      <c r="D94" t="s">
        <v>180</v>
      </c>
      <c r="E94">
        <v>7.6</v>
      </c>
      <c r="F94" t="s">
        <v>173</v>
      </c>
      <c r="G94">
        <v>25.4</v>
      </c>
      <c r="H94" t="s">
        <v>174</v>
      </c>
      <c r="I94">
        <v>12.2</v>
      </c>
      <c r="J94" t="s">
        <v>181</v>
      </c>
      <c r="K94">
        <v>10.199999999999999</v>
      </c>
      <c r="L94" t="s">
        <v>175</v>
      </c>
      <c r="M94">
        <v>18.2</v>
      </c>
      <c r="N94" t="s">
        <v>183</v>
      </c>
      <c r="O94">
        <v>1.9</v>
      </c>
      <c r="P94" t="s">
        <v>184</v>
      </c>
      <c r="Q94">
        <v>3.3</v>
      </c>
      <c r="R94" t="s">
        <v>182</v>
      </c>
      <c r="S94" t="s">
        <v>65</v>
      </c>
      <c r="T94">
        <v>2.7</v>
      </c>
    </row>
    <row r="95" spans="1:20" x14ac:dyDescent="0.3">
      <c r="A95">
        <v>2017</v>
      </c>
      <c r="B95">
        <v>4</v>
      </c>
      <c r="C95" t="s">
        <v>12</v>
      </c>
      <c r="D95" t="s">
        <v>180</v>
      </c>
      <c r="E95">
        <v>11.3</v>
      </c>
      <c r="F95" t="s">
        <v>173</v>
      </c>
      <c r="G95">
        <v>11.9</v>
      </c>
      <c r="H95" t="s">
        <v>174</v>
      </c>
      <c r="I95">
        <v>9.5</v>
      </c>
      <c r="J95" t="s">
        <v>181</v>
      </c>
      <c r="K95">
        <v>15.2</v>
      </c>
      <c r="L95" t="s">
        <v>175</v>
      </c>
      <c r="M95">
        <v>18.899999999999999</v>
      </c>
      <c r="N95" t="s">
        <v>177</v>
      </c>
      <c r="O95">
        <v>3.6</v>
      </c>
      <c r="P95" t="s">
        <v>178</v>
      </c>
      <c r="Q95">
        <v>8.6</v>
      </c>
      <c r="R95" t="s">
        <v>179</v>
      </c>
      <c r="S95" t="s">
        <v>65</v>
      </c>
      <c r="T95">
        <v>6.4</v>
      </c>
    </row>
    <row r="96" spans="1:20" x14ac:dyDescent="0.3">
      <c r="A96">
        <v>2017</v>
      </c>
      <c r="B96">
        <v>5</v>
      </c>
      <c r="C96" t="s">
        <v>12</v>
      </c>
      <c r="D96" t="s">
        <v>172</v>
      </c>
      <c r="E96">
        <v>1.4</v>
      </c>
      <c r="F96" t="s">
        <v>174</v>
      </c>
      <c r="G96">
        <v>10.1</v>
      </c>
      <c r="H96" t="s">
        <v>252</v>
      </c>
      <c r="I96">
        <v>10.7</v>
      </c>
      <c r="J96" t="s">
        <v>181</v>
      </c>
      <c r="K96">
        <v>7.4</v>
      </c>
      <c r="L96" t="s">
        <v>179</v>
      </c>
      <c r="M96">
        <v>4.5999999999999996</v>
      </c>
      <c r="N96" t="s">
        <v>183</v>
      </c>
      <c r="O96">
        <v>1.1000000000000001</v>
      </c>
      <c r="P96" t="s">
        <v>178</v>
      </c>
      <c r="Q96">
        <v>11</v>
      </c>
      <c r="R96" t="s">
        <v>182</v>
      </c>
      <c r="S96" t="s">
        <v>65</v>
      </c>
      <c r="T96">
        <v>5.9</v>
      </c>
    </row>
    <row r="97" spans="1:20" x14ac:dyDescent="0.3">
      <c r="A97">
        <v>2017</v>
      </c>
      <c r="B97">
        <v>6</v>
      </c>
      <c r="C97" t="s">
        <v>12</v>
      </c>
      <c r="D97" t="s">
        <v>77</v>
      </c>
      <c r="E97">
        <v>20.7</v>
      </c>
      <c r="F97" t="s">
        <v>174</v>
      </c>
      <c r="G97">
        <v>7.7</v>
      </c>
      <c r="H97" t="s">
        <v>88</v>
      </c>
      <c r="I97">
        <v>27.5</v>
      </c>
      <c r="J97" t="s">
        <v>179</v>
      </c>
      <c r="K97">
        <v>8.9</v>
      </c>
      <c r="L97" t="s">
        <v>175</v>
      </c>
      <c r="M97">
        <v>2.6</v>
      </c>
      <c r="N97" t="s">
        <v>177</v>
      </c>
      <c r="O97">
        <v>5.7</v>
      </c>
      <c r="P97" t="s">
        <v>272</v>
      </c>
      <c r="Q97">
        <v>20.5</v>
      </c>
      <c r="R97" t="s">
        <v>252</v>
      </c>
      <c r="S97" t="s">
        <v>73</v>
      </c>
      <c r="T97">
        <v>4.2</v>
      </c>
    </row>
    <row r="98" spans="1:20" x14ac:dyDescent="0.3">
      <c r="A98">
        <v>2017</v>
      </c>
      <c r="B98">
        <v>7</v>
      </c>
      <c r="C98" t="s">
        <v>12</v>
      </c>
      <c r="D98" t="s">
        <v>77</v>
      </c>
      <c r="E98">
        <v>7.4</v>
      </c>
      <c r="F98" t="s">
        <v>174</v>
      </c>
      <c r="G98">
        <v>3.4</v>
      </c>
      <c r="H98" t="s">
        <v>88</v>
      </c>
      <c r="I98">
        <v>19</v>
      </c>
      <c r="J98" t="s">
        <v>179</v>
      </c>
      <c r="K98">
        <v>5.5</v>
      </c>
      <c r="L98" t="s">
        <v>175</v>
      </c>
      <c r="M98">
        <v>11.7</v>
      </c>
      <c r="N98" t="s">
        <v>177</v>
      </c>
      <c r="O98">
        <v>22.4</v>
      </c>
      <c r="P98" t="s">
        <v>272</v>
      </c>
      <c r="Q98">
        <v>13.1</v>
      </c>
      <c r="R98" t="s">
        <v>289</v>
      </c>
      <c r="S98" t="s">
        <v>73</v>
      </c>
      <c r="T98">
        <v>6.3</v>
      </c>
    </row>
    <row r="99" spans="1:20" x14ac:dyDescent="0.3">
      <c r="A99">
        <v>2017</v>
      </c>
      <c r="B99">
        <v>8</v>
      </c>
      <c r="C99" t="s">
        <v>12</v>
      </c>
      <c r="D99" t="s">
        <v>77</v>
      </c>
      <c r="E99">
        <v>12.6</v>
      </c>
      <c r="F99" t="s">
        <v>174</v>
      </c>
      <c r="G99">
        <v>12.1</v>
      </c>
      <c r="H99" t="s">
        <v>88</v>
      </c>
      <c r="I99">
        <v>14.9</v>
      </c>
      <c r="J99" t="s">
        <v>175</v>
      </c>
      <c r="K99">
        <v>11.2</v>
      </c>
      <c r="L99" t="s">
        <v>291</v>
      </c>
      <c r="M99">
        <v>19.5</v>
      </c>
      <c r="N99" t="s">
        <v>177</v>
      </c>
      <c r="O99">
        <v>1</v>
      </c>
      <c r="P99" t="s">
        <v>178</v>
      </c>
      <c r="Q99">
        <v>13.7</v>
      </c>
      <c r="R99" t="s">
        <v>290</v>
      </c>
      <c r="S99" t="s">
        <v>73</v>
      </c>
      <c r="T99">
        <v>8.1999999999999993</v>
      </c>
    </row>
    <row r="100" spans="1:20" x14ac:dyDescent="0.3">
      <c r="A100">
        <v>2017</v>
      </c>
      <c r="B100">
        <v>9</v>
      </c>
      <c r="C100" t="s">
        <v>12</v>
      </c>
      <c r="D100" t="s">
        <v>77</v>
      </c>
      <c r="E100">
        <v>20.100000000000001</v>
      </c>
      <c r="F100" t="s">
        <v>174</v>
      </c>
      <c r="G100">
        <v>9.1999999999999993</v>
      </c>
      <c r="H100" t="s">
        <v>88</v>
      </c>
      <c r="I100">
        <v>8.4</v>
      </c>
      <c r="J100" t="s">
        <v>175</v>
      </c>
      <c r="K100">
        <v>10.5</v>
      </c>
      <c r="L100" t="s">
        <v>291</v>
      </c>
      <c r="M100">
        <v>12.8</v>
      </c>
      <c r="N100" t="s">
        <v>292</v>
      </c>
      <c r="O100">
        <v>10.199999999999999</v>
      </c>
      <c r="P100" t="s">
        <v>272</v>
      </c>
      <c r="Q100">
        <v>10.9</v>
      </c>
      <c r="R100" t="s">
        <v>290</v>
      </c>
      <c r="S100" t="s">
        <v>73</v>
      </c>
      <c r="T100">
        <v>23.6</v>
      </c>
    </row>
    <row r="101" spans="1:20" x14ac:dyDescent="0.3">
      <c r="A101">
        <v>2017</v>
      </c>
      <c r="B101">
        <v>1</v>
      </c>
      <c r="C101" t="s">
        <v>6</v>
      </c>
      <c r="D101" t="s">
        <v>185</v>
      </c>
      <c r="E101">
        <v>10.6</v>
      </c>
      <c r="F101" t="s">
        <v>186</v>
      </c>
      <c r="G101">
        <v>6.2</v>
      </c>
      <c r="H101" t="s">
        <v>187</v>
      </c>
      <c r="I101">
        <v>16.399999999999999</v>
      </c>
      <c r="J101" t="s">
        <v>188</v>
      </c>
      <c r="K101">
        <v>7.3</v>
      </c>
      <c r="L101" t="s">
        <v>189</v>
      </c>
      <c r="M101">
        <v>11.3</v>
      </c>
      <c r="N101" t="s">
        <v>190</v>
      </c>
      <c r="O101">
        <v>5.0999999999999996</v>
      </c>
      <c r="P101" t="s">
        <v>184</v>
      </c>
      <c r="Q101">
        <v>-2.5</v>
      </c>
      <c r="R101" t="s">
        <v>191</v>
      </c>
      <c r="S101" t="s">
        <v>65</v>
      </c>
      <c r="T101">
        <v>2.4</v>
      </c>
    </row>
    <row r="102" spans="1:20" x14ac:dyDescent="0.3">
      <c r="A102">
        <v>2017</v>
      </c>
      <c r="B102">
        <v>2</v>
      </c>
      <c r="C102" t="s">
        <v>6</v>
      </c>
      <c r="D102" t="s">
        <v>185</v>
      </c>
      <c r="E102">
        <v>11.9</v>
      </c>
      <c r="F102" t="s">
        <v>186</v>
      </c>
      <c r="G102">
        <v>11.1</v>
      </c>
      <c r="H102" t="s">
        <v>187</v>
      </c>
      <c r="I102">
        <v>17.3</v>
      </c>
      <c r="J102" t="s">
        <v>188</v>
      </c>
      <c r="K102">
        <v>18.7</v>
      </c>
      <c r="L102" t="s">
        <v>189</v>
      </c>
      <c r="M102">
        <v>29</v>
      </c>
      <c r="N102" t="s">
        <v>192</v>
      </c>
      <c r="O102">
        <v>3.4</v>
      </c>
      <c r="P102" t="s">
        <v>193</v>
      </c>
      <c r="Q102">
        <v>17.7</v>
      </c>
      <c r="R102" t="s">
        <v>191</v>
      </c>
      <c r="S102" t="s">
        <v>65</v>
      </c>
      <c r="T102">
        <v>17.3</v>
      </c>
    </row>
    <row r="103" spans="1:20" x14ac:dyDescent="0.3">
      <c r="A103">
        <v>2017</v>
      </c>
      <c r="B103">
        <v>3</v>
      </c>
      <c r="C103" t="s">
        <v>6</v>
      </c>
      <c r="D103" t="s">
        <v>185</v>
      </c>
      <c r="E103">
        <v>26.8</v>
      </c>
      <c r="F103" t="s">
        <v>186</v>
      </c>
      <c r="G103">
        <v>18.8</v>
      </c>
      <c r="H103" t="s">
        <v>187</v>
      </c>
      <c r="I103">
        <v>13.9</v>
      </c>
      <c r="J103" t="s">
        <v>188</v>
      </c>
      <c r="K103">
        <v>7.6</v>
      </c>
      <c r="L103" t="s">
        <v>189</v>
      </c>
      <c r="M103">
        <v>1.2</v>
      </c>
      <c r="N103" t="s">
        <v>190</v>
      </c>
      <c r="O103">
        <v>0.6</v>
      </c>
      <c r="P103" t="s">
        <v>193</v>
      </c>
      <c r="Q103">
        <v>-5.3</v>
      </c>
      <c r="R103" t="s">
        <v>191</v>
      </c>
      <c r="S103" t="s">
        <v>65</v>
      </c>
      <c r="T103">
        <v>4</v>
      </c>
    </row>
    <row r="104" spans="1:20" x14ac:dyDescent="0.3">
      <c r="A104">
        <v>2017</v>
      </c>
      <c r="B104">
        <v>4</v>
      </c>
      <c r="C104" t="s">
        <v>6</v>
      </c>
      <c r="D104" t="s">
        <v>185</v>
      </c>
      <c r="E104">
        <v>20.6</v>
      </c>
      <c r="F104" t="s">
        <v>186</v>
      </c>
      <c r="G104">
        <v>32.6</v>
      </c>
      <c r="H104" t="s">
        <v>187</v>
      </c>
      <c r="I104">
        <v>3.4</v>
      </c>
      <c r="J104" t="s">
        <v>188</v>
      </c>
      <c r="K104">
        <v>10.4</v>
      </c>
      <c r="L104" t="s">
        <v>191</v>
      </c>
      <c r="M104">
        <v>6.3</v>
      </c>
      <c r="N104" t="s">
        <v>190</v>
      </c>
      <c r="O104">
        <v>5.2</v>
      </c>
      <c r="P104" t="s">
        <v>193</v>
      </c>
      <c r="Q104">
        <v>-1.3</v>
      </c>
      <c r="R104" t="s">
        <v>194</v>
      </c>
      <c r="S104" t="s">
        <v>73</v>
      </c>
      <c r="T104">
        <v>15.9</v>
      </c>
    </row>
    <row r="105" spans="1:20" x14ac:dyDescent="0.3">
      <c r="A105">
        <v>2017</v>
      </c>
      <c r="B105">
        <v>5</v>
      </c>
      <c r="C105" t="s">
        <v>6</v>
      </c>
      <c r="D105" t="s">
        <v>253</v>
      </c>
      <c r="E105">
        <v>13.5</v>
      </c>
      <c r="F105" t="s">
        <v>186</v>
      </c>
      <c r="G105">
        <v>14.3</v>
      </c>
      <c r="H105" t="s">
        <v>187</v>
      </c>
      <c r="I105">
        <v>31.3</v>
      </c>
      <c r="J105" t="s">
        <v>188</v>
      </c>
      <c r="K105">
        <v>4.5999999999999996</v>
      </c>
      <c r="L105" t="s">
        <v>189</v>
      </c>
      <c r="M105">
        <v>17.2</v>
      </c>
      <c r="N105" t="s">
        <v>254</v>
      </c>
      <c r="O105">
        <v>5.8</v>
      </c>
      <c r="P105" t="s">
        <v>106</v>
      </c>
      <c r="Q105">
        <v>6</v>
      </c>
      <c r="R105" t="s">
        <v>255</v>
      </c>
      <c r="S105" t="s">
        <v>73</v>
      </c>
      <c r="T105">
        <v>3.9</v>
      </c>
    </row>
    <row r="106" spans="1:20" x14ac:dyDescent="0.3">
      <c r="A106">
        <v>2017</v>
      </c>
      <c r="B106">
        <v>6</v>
      </c>
      <c r="C106" t="s">
        <v>6</v>
      </c>
      <c r="D106" t="s">
        <v>185</v>
      </c>
      <c r="E106">
        <v>27.8</v>
      </c>
      <c r="F106" t="s">
        <v>186</v>
      </c>
      <c r="G106">
        <v>26.6</v>
      </c>
      <c r="H106" t="s">
        <v>187</v>
      </c>
      <c r="I106">
        <v>31.5</v>
      </c>
      <c r="J106" t="s">
        <v>188</v>
      </c>
      <c r="K106">
        <v>9.1</v>
      </c>
      <c r="L106" t="s">
        <v>189</v>
      </c>
      <c r="M106">
        <v>14.2</v>
      </c>
      <c r="N106" t="s">
        <v>112</v>
      </c>
      <c r="O106">
        <v>11.5</v>
      </c>
      <c r="P106" t="s">
        <v>76</v>
      </c>
      <c r="Q106">
        <v>3.3</v>
      </c>
      <c r="R106" t="s">
        <v>255</v>
      </c>
      <c r="S106" t="s">
        <v>73</v>
      </c>
      <c r="T106">
        <v>5.4</v>
      </c>
    </row>
    <row r="107" spans="1:20" x14ac:dyDescent="0.3">
      <c r="A107">
        <v>2017</v>
      </c>
      <c r="B107">
        <v>7</v>
      </c>
      <c r="C107" t="s">
        <v>6</v>
      </c>
      <c r="D107" t="s">
        <v>185</v>
      </c>
      <c r="E107">
        <v>23.9</v>
      </c>
      <c r="F107" t="s">
        <v>186</v>
      </c>
      <c r="G107">
        <v>20.7</v>
      </c>
      <c r="H107" t="s">
        <v>187</v>
      </c>
      <c r="I107">
        <v>4.9000000000000004</v>
      </c>
      <c r="J107" t="s">
        <v>188</v>
      </c>
      <c r="K107">
        <v>4.7</v>
      </c>
      <c r="L107" t="s">
        <v>189</v>
      </c>
      <c r="M107">
        <v>9.9</v>
      </c>
      <c r="N107" t="s">
        <v>112</v>
      </c>
      <c r="O107">
        <v>9.3000000000000007</v>
      </c>
      <c r="P107" t="s">
        <v>106</v>
      </c>
      <c r="Q107">
        <v>3.7</v>
      </c>
      <c r="R107" t="s">
        <v>194</v>
      </c>
      <c r="S107" t="s">
        <v>73</v>
      </c>
      <c r="T107">
        <v>4.9000000000000004</v>
      </c>
    </row>
    <row r="108" spans="1:20" x14ac:dyDescent="0.3">
      <c r="A108">
        <v>2017</v>
      </c>
      <c r="B108">
        <v>8</v>
      </c>
      <c r="C108" t="s">
        <v>6</v>
      </c>
      <c r="D108" t="s">
        <v>185</v>
      </c>
      <c r="E108">
        <v>10.5</v>
      </c>
      <c r="F108" t="s">
        <v>186</v>
      </c>
      <c r="G108">
        <v>13.1</v>
      </c>
      <c r="H108" t="s">
        <v>187</v>
      </c>
      <c r="I108">
        <v>20.399999999999999</v>
      </c>
      <c r="J108" t="s">
        <v>188</v>
      </c>
      <c r="K108">
        <v>15.2</v>
      </c>
      <c r="L108" t="s">
        <v>189</v>
      </c>
      <c r="M108">
        <v>10.8</v>
      </c>
      <c r="N108" t="s">
        <v>112</v>
      </c>
      <c r="O108">
        <v>2.1</v>
      </c>
      <c r="P108" t="s">
        <v>106</v>
      </c>
      <c r="Q108">
        <v>14.4</v>
      </c>
      <c r="R108" t="s">
        <v>255</v>
      </c>
      <c r="S108" t="s">
        <v>73</v>
      </c>
      <c r="T108">
        <v>5.3</v>
      </c>
    </row>
    <row r="109" spans="1:20" x14ac:dyDescent="0.3">
      <c r="A109">
        <v>2017</v>
      </c>
      <c r="B109">
        <v>9</v>
      </c>
      <c r="C109" t="s">
        <v>6</v>
      </c>
      <c r="D109" t="s">
        <v>185</v>
      </c>
      <c r="E109">
        <v>8.3000000000000007</v>
      </c>
      <c r="F109" t="s">
        <v>255</v>
      </c>
      <c r="G109">
        <v>10.199999999999999</v>
      </c>
      <c r="H109" t="s">
        <v>265</v>
      </c>
      <c r="I109">
        <v>2.4</v>
      </c>
      <c r="J109" t="s">
        <v>189</v>
      </c>
      <c r="K109">
        <v>5.5</v>
      </c>
      <c r="L109" t="s">
        <v>300</v>
      </c>
      <c r="M109">
        <v>4.5999999999999996</v>
      </c>
      <c r="N109" t="s">
        <v>301</v>
      </c>
      <c r="O109">
        <v>0</v>
      </c>
      <c r="P109" t="s">
        <v>106</v>
      </c>
      <c r="Q109">
        <v>-1.1000000000000001</v>
      </c>
      <c r="R109" t="s">
        <v>188</v>
      </c>
      <c r="S109" t="s">
        <v>65</v>
      </c>
      <c r="T109">
        <v>23.4</v>
      </c>
    </row>
    <row r="110" spans="1:20" x14ac:dyDescent="0.3">
      <c r="A110">
        <v>2017</v>
      </c>
      <c r="B110">
        <v>1</v>
      </c>
      <c r="C110" t="s">
        <v>5</v>
      </c>
      <c r="D110" t="s">
        <v>195</v>
      </c>
      <c r="E110">
        <v>10.7</v>
      </c>
      <c r="F110" t="s">
        <v>196</v>
      </c>
      <c r="G110">
        <v>1.8</v>
      </c>
      <c r="H110" t="s">
        <v>197</v>
      </c>
      <c r="I110">
        <v>9.3000000000000007</v>
      </c>
      <c r="J110" t="s">
        <v>198</v>
      </c>
      <c r="K110">
        <v>8.6</v>
      </c>
      <c r="L110" t="s">
        <v>199</v>
      </c>
      <c r="M110">
        <v>5.2</v>
      </c>
      <c r="N110" t="s">
        <v>200</v>
      </c>
      <c r="O110">
        <v>11.1</v>
      </c>
      <c r="P110" t="s">
        <v>201</v>
      </c>
      <c r="Q110">
        <v>5.9</v>
      </c>
      <c r="R110" t="s">
        <v>202</v>
      </c>
      <c r="S110" t="s">
        <v>73</v>
      </c>
      <c r="T110">
        <v>0.3</v>
      </c>
    </row>
    <row r="111" spans="1:20" x14ac:dyDescent="0.3">
      <c r="A111">
        <v>2017</v>
      </c>
      <c r="B111">
        <v>2</v>
      </c>
      <c r="C111" t="s">
        <v>5</v>
      </c>
      <c r="D111" t="s">
        <v>195</v>
      </c>
      <c r="E111">
        <v>30.8</v>
      </c>
      <c r="F111" t="s">
        <v>197</v>
      </c>
      <c r="G111">
        <v>28.9</v>
      </c>
      <c r="H111" t="s">
        <v>203</v>
      </c>
      <c r="I111">
        <v>12.7</v>
      </c>
      <c r="J111" t="s">
        <v>198</v>
      </c>
      <c r="K111">
        <v>13.3</v>
      </c>
      <c r="L111" t="s">
        <v>199</v>
      </c>
      <c r="M111">
        <v>6.9</v>
      </c>
      <c r="N111" t="s">
        <v>200</v>
      </c>
      <c r="O111">
        <v>14.2</v>
      </c>
      <c r="P111" t="s">
        <v>201</v>
      </c>
      <c r="Q111">
        <v>7.6</v>
      </c>
      <c r="R111" t="s">
        <v>204</v>
      </c>
      <c r="S111" t="s">
        <v>73</v>
      </c>
      <c r="T111">
        <v>18.600000000000001</v>
      </c>
    </row>
    <row r="112" spans="1:20" x14ac:dyDescent="0.3">
      <c r="A112">
        <v>2017</v>
      </c>
      <c r="B112">
        <v>3</v>
      </c>
      <c r="C112" t="s">
        <v>5</v>
      </c>
      <c r="D112" t="s">
        <v>195</v>
      </c>
      <c r="E112">
        <v>35.700000000000003</v>
      </c>
      <c r="F112" t="s">
        <v>197</v>
      </c>
      <c r="G112">
        <v>5.3</v>
      </c>
      <c r="H112" t="s">
        <v>203</v>
      </c>
      <c r="I112">
        <v>1.5</v>
      </c>
      <c r="J112" t="s">
        <v>198</v>
      </c>
      <c r="K112">
        <v>12.6</v>
      </c>
      <c r="L112" t="s">
        <v>199</v>
      </c>
      <c r="M112">
        <v>24.8</v>
      </c>
      <c r="N112" t="s">
        <v>200</v>
      </c>
      <c r="O112">
        <v>5.0999999999999996</v>
      </c>
      <c r="P112" t="s">
        <v>130</v>
      </c>
      <c r="Q112">
        <v>6.2</v>
      </c>
      <c r="R112" t="s">
        <v>204</v>
      </c>
      <c r="S112" t="s">
        <v>73</v>
      </c>
      <c r="T112">
        <v>5.3</v>
      </c>
    </row>
    <row r="113" spans="1:20" x14ac:dyDescent="0.3">
      <c r="A113">
        <v>2017</v>
      </c>
      <c r="B113">
        <v>4</v>
      </c>
      <c r="C113" t="s">
        <v>5</v>
      </c>
      <c r="D113" t="s">
        <v>195</v>
      </c>
      <c r="E113">
        <v>20.5</v>
      </c>
      <c r="F113" t="s">
        <v>197</v>
      </c>
      <c r="G113">
        <v>13.2</v>
      </c>
      <c r="H113" t="s">
        <v>203</v>
      </c>
      <c r="I113">
        <v>11.8</v>
      </c>
      <c r="J113" t="s">
        <v>198</v>
      </c>
      <c r="K113">
        <v>4.5</v>
      </c>
      <c r="L113" t="s">
        <v>199</v>
      </c>
      <c r="M113">
        <v>4.5</v>
      </c>
      <c r="N113" t="s">
        <v>200</v>
      </c>
      <c r="O113">
        <v>6.6</v>
      </c>
      <c r="P113" t="s">
        <v>201</v>
      </c>
      <c r="Q113">
        <v>21.7</v>
      </c>
      <c r="R113" t="s">
        <v>204</v>
      </c>
      <c r="S113" t="s">
        <v>73</v>
      </c>
      <c r="T113">
        <v>7.4</v>
      </c>
    </row>
    <row r="114" spans="1:20" x14ac:dyDescent="0.3">
      <c r="A114">
        <v>2017</v>
      </c>
      <c r="B114">
        <v>5</v>
      </c>
      <c r="C114" t="s">
        <v>5</v>
      </c>
      <c r="D114" t="s">
        <v>195</v>
      </c>
      <c r="E114">
        <v>12.6</v>
      </c>
      <c r="F114" t="s">
        <v>203</v>
      </c>
      <c r="G114">
        <v>2</v>
      </c>
      <c r="H114" t="s">
        <v>204</v>
      </c>
      <c r="I114">
        <v>16.5</v>
      </c>
      <c r="J114" t="s">
        <v>199</v>
      </c>
      <c r="K114">
        <v>21.2</v>
      </c>
      <c r="L114" t="s">
        <v>256</v>
      </c>
      <c r="M114">
        <v>19.2</v>
      </c>
      <c r="N114" t="s">
        <v>200</v>
      </c>
      <c r="O114">
        <v>4</v>
      </c>
      <c r="P114" t="s">
        <v>201</v>
      </c>
      <c r="Q114">
        <v>10.9</v>
      </c>
      <c r="R114" t="s">
        <v>257</v>
      </c>
      <c r="S114" t="s">
        <v>258</v>
      </c>
      <c r="T114">
        <v>0</v>
      </c>
    </row>
    <row r="115" spans="1:20" x14ac:dyDescent="0.3">
      <c r="A115">
        <v>2017</v>
      </c>
      <c r="B115">
        <v>6</v>
      </c>
      <c r="C115" t="s">
        <v>5</v>
      </c>
      <c r="D115" t="s">
        <v>195</v>
      </c>
      <c r="E115">
        <v>16.2</v>
      </c>
      <c r="F115" t="s">
        <v>197</v>
      </c>
      <c r="G115">
        <v>1.7</v>
      </c>
      <c r="H115" t="s">
        <v>273</v>
      </c>
      <c r="I115">
        <v>10.199999999999999</v>
      </c>
      <c r="J115" t="s">
        <v>198</v>
      </c>
      <c r="K115">
        <v>10.199999999999999</v>
      </c>
      <c r="L115" t="s">
        <v>199</v>
      </c>
      <c r="M115">
        <v>2.4</v>
      </c>
      <c r="N115" t="s">
        <v>200</v>
      </c>
      <c r="O115">
        <v>3.4</v>
      </c>
      <c r="P115" t="s">
        <v>71</v>
      </c>
      <c r="Q115">
        <v>4.3</v>
      </c>
      <c r="R115" t="s">
        <v>204</v>
      </c>
      <c r="S115" t="s">
        <v>73</v>
      </c>
      <c r="T115">
        <v>8.1</v>
      </c>
    </row>
    <row r="116" spans="1:20" x14ac:dyDescent="0.3">
      <c r="A116">
        <v>2017</v>
      </c>
      <c r="B116">
        <v>7</v>
      </c>
      <c r="C116" t="s">
        <v>5</v>
      </c>
      <c r="D116" t="s">
        <v>195</v>
      </c>
      <c r="E116">
        <v>18.5</v>
      </c>
      <c r="F116" t="s">
        <v>197</v>
      </c>
      <c r="G116">
        <v>6.6</v>
      </c>
      <c r="H116" t="s">
        <v>273</v>
      </c>
      <c r="I116">
        <v>13.2</v>
      </c>
      <c r="J116" t="s">
        <v>198</v>
      </c>
      <c r="K116">
        <v>20.399999999999999</v>
      </c>
      <c r="L116" t="s">
        <v>199</v>
      </c>
      <c r="M116">
        <v>3.7</v>
      </c>
      <c r="N116" t="s">
        <v>200</v>
      </c>
      <c r="O116">
        <v>7.8</v>
      </c>
      <c r="P116" t="s">
        <v>201</v>
      </c>
      <c r="Q116">
        <v>8.3000000000000007</v>
      </c>
      <c r="R116" t="s">
        <v>196</v>
      </c>
      <c r="S116" t="s">
        <v>73</v>
      </c>
      <c r="T116">
        <v>3.8</v>
      </c>
    </row>
    <row r="117" spans="1:20" x14ac:dyDescent="0.3">
      <c r="A117">
        <v>2017</v>
      </c>
      <c r="B117">
        <v>8</v>
      </c>
      <c r="C117" t="s">
        <v>5</v>
      </c>
      <c r="D117" t="s">
        <v>195</v>
      </c>
      <c r="E117">
        <v>17.5</v>
      </c>
      <c r="F117" t="s">
        <v>197</v>
      </c>
      <c r="G117">
        <v>9</v>
      </c>
      <c r="H117" t="s">
        <v>273</v>
      </c>
      <c r="I117">
        <v>15.1</v>
      </c>
      <c r="J117" t="s">
        <v>198</v>
      </c>
      <c r="K117">
        <v>8.9</v>
      </c>
      <c r="L117" t="s">
        <v>199</v>
      </c>
      <c r="M117">
        <v>2.5</v>
      </c>
      <c r="N117" t="s">
        <v>292</v>
      </c>
      <c r="O117">
        <v>3</v>
      </c>
      <c r="P117" t="s">
        <v>201</v>
      </c>
      <c r="Q117">
        <v>10.7</v>
      </c>
      <c r="R117" t="s">
        <v>204</v>
      </c>
      <c r="S117" t="s">
        <v>73</v>
      </c>
      <c r="T117">
        <v>6.2</v>
      </c>
    </row>
    <row r="118" spans="1:20" x14ac:dyDescent="0.3">
      <c r="A118">
        <v>2017</v>
      </c>
      <c r="B118">
        <v>9</v>
      </c>
      <c r="C118" t="s">
        <v>5</v>
      </c>
      <c r="D118" t="s">
        <v>162</v>
      </c>
      <c r="E118">
        <v>18.399999999999999</v>
      </c>
      <c r="F118" t="s">
        <v>273</v>
      </c>
      <c r="G118">
        <v>28.2</v>
      </c>
      <c r="H118" t="s">
        <v>163</v>
      </c>
      <c r="I118">
        <v>17</v>
      </c>
      <c r="J118" t="s">
        <v>198</v>
      </c>
      <c r="K118">
        <v>14.8</v>
      </c>
      <c r="L118" t="s">
        <v>256</v>
      </c>
      <c r="M118">
        <v>4.2</v>
      </c>
      <c r="N118" t="s">
        <v>257</v>
      </c>
      <c r="O118">
        <v>15</v>
      </c>
      <c r="P118" t="s">
        <v>201</v>
      </c>
      <c r="Q118">
        <v>12.4</v>
      </c>
      <c r="R118" t="s">
        <v>196</v>
      </c>
      <c r="S118" t="s">
        <v>73</v>
      </c>
      <c r="T118">
        <v>15.7</v>
      </c>
    </row>
    <row r="119" spans="1:20" x14ac:dyDescent="0.3">
      <c r="A119">
        <v>2017</v>
      </c>
      <c r="B119">
        <v>1</v>
      </c>
      <c r="C119" t="s">
        <v>15</v>
      </c>
      <c r="D119" t="s">
        <v>205</v>
      </c>
      <c r="E119">
        <v>18.899999999999999</v>
      </c>
      <c r="F119" t="s">
        <v>206</v>
      </c>
      <c r="G119">
        <v>5.2</v>
      </c>
      <c r="H119" t="s">
        <v>207</v>
      </c>
      <c r="I119">
        <v>3</v>
      </c>
      <c r="J119" t="s">
        <v>208</v>
      </c>
      <c r="K119">
        <v>14.7</v>
      </c>
      <c r="L119" t="s">
        <v>209</v>
      </c>
      <c r="M119">
        <v>17.399999999999999</v>
      </c>
      <c r="N119" t="s">
        <v>210</v>
      </c>
      <c r="O119">
        <v>4.3</v>
      </c>
      <c r="P119" t="s">
        <v>211</v>
      </c>
      <c r="Q119">
        <v>0.7</v>
      </c>
      <c r="R119" t="s">
        <v>212</v>
      </c>
      <c r="S119" t="s">
        <v>65</v>
      </c>
      <c r="T119">
        <v>8.3000000000000007</v>
      </c>
    </row>
    <row r="120" spans="1:20" x14ac:dyDescent="0.3">
      <c r="A120">
        <v>2017</v>
      </c>
      <c r="B120">
        <v>2</v>
      </c>
      <c r="C120" t="s">
        <v>15</v>
      </c>
      <c r="D120" t="s">
        <v>205</v>
      </c>
      <c r="E120">
        <v>24.8</v>
      </c>
      <c r="F120" t="s">
        <v>213</v>
      </c>
      <c r="G120">
        <v>4.5999999999999996</v>
      </c>
      <c r="H120" t="s">
        <v>214</v>
      </c>
      <c r="I120">
        <v>2.2000000000000002</v>
      </c>
      <c r="J120" t="s">
        <v>208</v>
      </c>
      <c r="K120">
        <v>5.3</v>
      </c>
      <c r="L120" t="s">
        <v>209</v>
      </c>
      <c r="M120">
        <v>0</v>
      </c>
      <c r="N120" t="s">
        <v>210</v>
      </c>
      <c r="O120">
        <v>20.6</v>
      </c>
      <c r="P120" t="s">
        <v>211</v>
      </c>
      <c r="Q120">
        <v>7.7</v>
      </c>
      <c r="R120" t="s">
        <v>212</v>
      </c>
      <c r="S120" t="s">
        <v>65</v>
      </c>
      <c r="T120">
        <v>4</v>
      </c>
    </row>
    <row r="121" spans="1:20" x14ac:dyDescent="0.3">
      <c r="A121">
        <v>2017</v>
      </c>
      <c r="B121">
        <v>3</v>
      </c>
      <c r="C121" t="s">
        <v>15</v>
      </c>
      <c r="D121" t="s">
        <v>205</v>
      </c>
      <c r="E121">
        <v>13.2</v>
      </c>
      <c r="F121" t="s">
        <v>213</v>
      </c>
      <c r="G121">
        <v>11.6</v>
      </c>
      <c r="H121" t="s">
        <v>207</v>
      </c>
      <c r="I121">
        <v>19.399999999999999</v>
      </c>
      <c r="J121" t="s">
        <v>208</v>
      </c>
      <c r="K121">
        <v>1.1000000000000001</v>
      </c>
      <c r="L121" t="s">
        <v>209</v>
      </c>
      <c r="M121">
        <v>20.2</v>
      </c>
      <c r="N121" t="s">
        <v>210</v>
      </c>
      <c r="O121">
        <v>18.899999999999999</v>
      </c>
      <c r="P121" t="s">
        <v>215</v>
      </c>
      <c r="Q121">
        <v>5.6</v>
      </c>
      <c r="R121" t="s">
        <v>212</v>
      </c>
      <c r="S121" t="s">
        <v>65</v>
      </c>
      <c r="T121">
        <v>25.6</v>
      </c>
    </row>
    <row r="122" spans="1:20" x14ac:dyDescent="0.3">
      <c r="A122">
        <v>2017</v>
      </c>
      <c r="B122">
        <v>4</v>
      </c>
      <c r="C122" t="s">
        <v>15</v>
      </c>
      <c r="D122" t="s">
        <v>205</v>
      </c>
      <c r="E122">
        <v>15.1</v>
      </c>
      <c r="F122" t="s">
        <v>213</v>
      </c>
      <c r="G122">
        <v>6.8</v>
      </c>
      <c r="H122" t="s">
        <v>207</v>
      </c>
      <c r="I122">
        <v>16.5</v>
      </c>
      <c r="J122" t="s">
        <v>208</v>
      </c>
      <c r="K122">
        <v>1.9</v>
      </c>
      <c r="L122" t="s">
        <v>209</v>
      </c>
      <c r="M122">
        <v>21.5</v>
      </c>
      <c r="N122" t="s">
        <v>210</v>
      </c>
      <c r="O122">
        <v>10</v>
      </c>
      <c r="P122" t="s">
        <v>211</v>
      </c>
      <c r="Q122">
        <v>21.9</v>
      </c>
      <c r="R122" t="s">
        <v>212</v>
      </c>
      <c r="S122" t="s">
        <v>65</v>
      </c>
      <c r="T122">
        <v>2.2000000000000002</v>
      </c>
    </row>
    <row r="123" spans="1:20" x14ac:dyDescent="0.3">
      <c r="A123">
        <v>2017</v>
      </c>
      <c r="B123">
        <v>5</v>
      </c>
      <c r="C123" t="s">
        <v>15</v>
      </c>
      <c r="D123" t="s">
        <v>205</v>
      </c>
      <c r="E123">
        <v>27.3</v>
      </c>
      <c r="F123" t="s">
        <v>213</v>
      </c>
      <c r="G123">
        <v>11.1</v>
      </c>
      <c r="H123" t="s">
        <v>207</v>
      </c>
      <c r="I123">
        <v>15.8</v>
      </c>
      <c r="J123" t="s">
        <v>208</v>
      </c>
      <c r="K123">
        <v>1.3</v>
      </c>
      <c r="L123" t="s">
        <v>209</v>
      </c>
      <c r="M123">
        <v>9.4</v>
      </c>
      <c r="N123" t="s">
        <v>259</v>
      </c>
      <c r="O123">
        <v>11.9</v>
      </c>
      <c r="P123" t="s">
        <v>211</v>
      </c>
      <c r="Q123">
        <v>-4.7</v>
      </c>
      <c r="R123" t="s">
        <v>212</v>
      </c>
      <c r="S123" t="s">
        <v>65</v>
      </c>
      <c r="T123">
        <v>0</v>
      </c>
    </row>
    <row r="124" spans="1:20" x14ac:dyDescent="0.3">
      <c r="A124">
        <v>2017</v>
      </c>
      <c r="B124">
        <v>6</v>
      </c>
      <c r="C124" t="s">
        <v>15</v>
      </c>
      <c r="D124" t="s">
        <v>205</v>
      </c>
      <c r="E124">
        <v>21.4</v>
      </c>
      <c r="F124" t="s">
        <v>207</v>
      </c>
      <c r="G124">
        <v>5.4</v>
      </c>
      <c r="H124" t="s">
        <v>274</v>
      </c>
      <c r="I124">
        <v>12.2</v>
      </c>
      <c r="J124" t="s">
        <v>208</v>
      </c>
      <c r="K124">
        <v>5.3</v>
      </c>
      <c r="L124" t="s">
        <v>209</v>
      </c>
      <c r="M124">
        <v>9</v>
      </c>
      <c r="N124" t="s">
        <v>210</v>
      </c>
      <c r="O124">
        <v>23.3</v>
      </c>
      <c r="P124" t="s">
        <v>211</v>
      </c>
      <c r="Q124">
        <v>21.3</v>
      </c>
      <c r="R124" t="s">
        <v>212</v>
      </c>
      <c r="S124" t="s">
        <v>65</v>
      </c>
      <c r="T124">
        <v>1.6</v>
      </c>
    </row>
    <row r="125" spans="1:20" x14ac:dyDescent="0.3">
      <c r="A125">
        <v>2017</v>
      </c>
      <c r="B125">
        <v>7</v>
      </c>
      <c r="C125" t="s">
        <v>15</v>
      </c>
      <c r="D125" t="s">
        <v>205</v>
      </c>
      <c r="E125">
        <v>31</v>
      </c>
      <c r="F125" t="s">
        <v>213</v>
      </c>
      <c r="G125">
        <v>8.3000000000000007</v>
      </c>
      <c r="H125" t="s">
        <v>207</v>
      </c>
      <c r="I125">
        <v>10.1</v>
      </c>
      <c r="J125" t="s">
        <v>208</v>
      </c>
      <c r="K125">
        <v>38.5</v>
      </c>
      <c r="L125" t="s">
        <v>209</v>
      </c>
      <c r="M125">
        <v>1.8</v>
      </c>
      <c r="N125" t="s">
        <v>210</v>
      </c>
      <c r="O125">
        <v>6.6</v>
      </c>
      <c r="P125" t="s">
        <v>293</v>
      </c>
      <c r="Q125">
        <v>13.6</v>
      </c>
      <c r="R125" t="s">
        <v>212</v>
      </c>
      <c r="S125" t="s">
        <v>65</v>
      </c>
      <c r="T125">
        <v>5.7</v>
      </c>
    </row>
    <row r="126" spans="1:20" x14ac:dyDescent="0.3">
      <c r="A126">
        <v>2017</v>
      </c>
      <c r="B126">
        <v>8</v>
      </c>
      <c r="C126" t="s">
        <v>15</v>
      </c>
      <c r="D126" t="s">
        <v>205</v>
      </c>
      <c r="E126">
        <v>17.100000000000001</v>
      </c>
      <c r="F126" t="s">
        <v>213</v>
      </c>
      <c r="G126">
        <v>10.4</v>
      </c>
      <c r="H126" t="s">
        <v>207</v>
      </c>
      <c r="I126">
        <v>6.3</v>
      </c>
      <c r="J126" t="s">
        <v>208</v>
      </c>
      <c r="K126">
        <v>7.7</v>
      </c>
      <c r="L126" t="s">
        <v>294</v>
      </c>
      <c r="M126">
        <v>18</v>
      </c>
      <c r="N126" t="s">
        <v>210</v>
      </c>
      <c r="O126">
        <v>14.2</v>
      </c>
      <c r="P126" t="s">
        <v>211</v>
      </c>
      <c r="Q126">
        <v>-1.2</v>
      </c>
      <c r="R126" t="s">
        <v>259</v>
      </c>
      <c r="S126" t="s">
        <v>258</v>
      </c>
      <c r="T126">
        <v>5.3</v>
      </c>
    </row>
    <row r="127" spans="1:20" x14ac:dyDescent="0.3">
      <c r="A127">
        <v>2017</v>
      </c>
      <c r="B127">
        <v>9</v>
      </c>
      <c r="C127" t="s">
        <v>15</v>
      </c>
      <c r="D127" t="s">
        <v>205</v>
      </c>
      <c r="E127">
        <v>24.8</v>
      </c>
      <c r="F127" t="s">
        <v>213</v>
      </c>
      <c r="G127">
        <v>12.1</v>
      </c>
      <c r="H127" t="s">
        <v>302</v>
      </c>
      <c r="I127">
        <v>13.4</v>
      </c>
      <c r="J127" t="s">
        <v>208</v>
      </c>
      <c r="K127">
        <v>7.8</v>
      </c>
      <c r="L127" t="s">
        <v>209</v>
      </c>
      <c r="M127">
        <v>5.5</v>
      </c>
      <c r="N127" t="s">
        <v>259</v>
      </c>
      <c r="O127">
        <v>3</v>
      </c>
      <c r="P127" t="s">
        <v>211</v>
      </c>
      <c r="Q127">
        <v>10.4</v>
      </c>
      <c r="R127" t="s">
        <v>212</v>
      </c>
      <c r="S127" t="s">
        <v>65</v>
      </c>
      <c r="T127">
        <v>13.2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58D1E-6029-471C-B2AF-E85DA8EDD0FA}">
  <sheetPr codeName="Sheet4"/>
  <dimension ref="A1:BU14"/>
  <sheetViews>
    <sheetView workbookViewId="0">
      <selection activeCell="B7" sqref="B7"/>
    </sheetView>
  </sheetViews>
  <sheetFormatPr defaultRowHeight="14.4" x14ac:dyDescent="0.3"/>
  <cols>
    <col min="1" max="1" width="16" bestFit="1" customWidth="1"/>
  </cols>
  <sheetData>
    <row r="1" spans="1:73" x14ac:dyDescent="0.3">
      <c r="A1" t="s">
        <v>5</v>
      </c>
      <c r="B1">
        <v>10.7</v>
      </c>
      <c r="C1">
        <v>1.8</v>
      </c>
      <c r="D1">
        <v>9.3000000000000007</v>
      </c>
      <c r="E1">
        <v>8.6</v>
      </c>
      <c r="F1">
        <v>5.2</v>
      </c>
      <c r="G1">
        <v>11.1</v>
      </c>
      <c r="H1">
        <v>5.9</v>
      </c>
      <c r="I1">
        <v>0.3</v>
      </c>
      <c r="J1">
        <v>30.8</v>
      </c>
      <c r="K1">
        <v>28.9</v>
      </c>
      <c r="L1">
        <v>12.7</v>
      </c>
      <c r="M1">
        <v>13.3</v>
      </c>
      <c r="N1">
        <v>6.9</v>
      </c>
      <c r="O1">
        <v>14.2</v>
      </c>
      <c r="P1">
        <v>7.6</v>
      </c>
      <c r="Q1">
        <v>18.600000000000001</v>
      </c>
      <c r="R1">
        <v>35.700000000000003</v>
      </c>
      <c r="S1">
        <v>5.3</v>
      </c>
      <c r="T1">
        <v>1.5</v>
      </c>
      <c r="U1">
        <v>12.6</v>
      </c>
      <c r="V1">
        <v>24.8</v>
      </c>
      <c r="W1">
        <v>5.0999999999999996</v>
      </c>
      <c r="X1">
        <v>6.2</v>
      </c>
      <c r="Y1">
        <v>5.3</v>
      </c>
      <c r="Z1">
        <v>20.5</v>
      </c>
      <c r="AA1">
        <v>13.2</v>
      </c>
      <c r="AB1">
        <v>11.8</v>
      </c>
      <c r="AC1">
        <v>4.5</v>
      </c>
      <c r="AD1">
        <v>4.5</v>
      </c>
      <c r="AE1">
        <v>6.6</v>
      </c>
      <c r="AF1">
        <v>21.7</v>
      </c>
      <c r="AG1">
        <v>7.4</v>
      </c>
      <c r="AH1">
        <v>12.6</v>
      </c>
      <c r="AI1">
        <v>2</v>
      </c>
      <c r="AJ1">
        <v>16.5</v>
      </c>
      <c r="AK1">
        <v>21.2</v>
      </c>
      <c r="AL1">
        <v>19.2</v>
      </c>
      <c r="AM1">
        <v>4</v>
      </c>
      <c r="AN1">
        <v>10.9</v>
      </c>
      <c r="AO1">
        <v>0</v>
      </c>
      <c r="AP1">
        <v>16.2</v>
      </c>
      <c r="AQ1">
        <v>1.7</v>
      </c>
      <c r="AR1">
        <v>10.199999999999999</v>
      </c>
      <c r="AS1">
        <v>10.199999999999999</v>
      </c>
      <c r="AT1">
        <v>2.4</v>
      </c>
      <c r="AU1">
        <v>3.4</v>
      </c>
      <c r="AV1">
        <v>4.3</v>
      </c>
      <c r="AW1">
        <v>8.1</v>
      </c>
      <c r="AX1">
        <v>18.5</v>
      </c>
      <c r="AY1">
        <v>6.6</v>
      </c>
      <c r="AZ1">
        <v>13.2</v>
      </c>
      <c r="BA1">
        <v>20.399999999999999</v>
      </c>
      <c r="BB1">
        <v>3.7</v>
      </c>
      <c r="BC1">
        <v>7.8</v>
      </c>
      <c r="BD1">
        <v>8.3000000000000007</v>
      </c>
      <c r="BE1">
        <v>3.8</v>
      </c>
      <c r="BF1">
        <v>17.5</v>
      </c>
      <c r="BG1">
        <v>9</v>
      </c>
      <c r="BH1">
        <v>15.1</v>
      </c>
      <c r="BI1">
        <v>8.9</v>
      </c>
      <c r="BJ1">
        <v>2.5</v>
      </c>
      <c r="BK1">
        <v>3</v>
      </c>
      <c r="BL1">
        <v>10.7</v>
      </c>
      <c r="BM1">
        <v>6.2</v>
      </c>
      <c r="BN1">
        <v>18.399999999999999</v>
      </c>
      <c r="BO1">
        <v>28.2</v>
      </c>
      <c r="BP1">
        <v>17</v>
      </c>
      <c r="BQ1">
        <v>14.8</v>
      </c>
      <c r="BR1">
        <v>4.2</v>
      </c>
      <c r="BS1">
        <v>15</v>
      </c>
      <c r="BT1">
        <v>12.4</v>
      </c>
      <c r="BU1">
        <v>15.7</v>
      </c>
    </row>
    <row r="2" spans="1:73" x14ac:dyDescent="0.3">
      <c r="A2" t="s">
        <v>124</v>
      </c>
      <c r="B2">
        <v>15.7</v>
      </c>
      <c r="C2">
        <v>7.8</v>
      </c>
      <c r="D2">
        <v>11.2</v>
      </c>
      <c r="E2">
        <v>23.7</v>
      </c>
      <c r="F2">
        <v>10.3</v>
      </c>
      <c r="G2">
        <v>2.7</v>
      </c>
      <c r="H2">
        <v>19.399999999999999</v>
      </c>
      <c r="I2">
        <v>3</v>
      </c>
      <c r="J2">
        <v>17.5</v>
      </c>
      <c r="K2">
        <v>11.5</v>
      </c>
      <c r="L2">
        <v>0.5</v>
      </c>
      <c r="M2">
        <v>8.6999999999999993</v>
      </c>
      <c r="N2">
        <v>5.3</v>
      </c>
      <c r="O2">
        <v>4.0999999999999996</v>
      </c>
      <c r="P2">
        <v>9.4</v>
      </c>
      <c r="Q2">
        <v>13.6</v>
      </c>
      <c r="R2">
        <v>17.8</v>
      </c>
      <c r="S2">
        <v>10.4</v>
      </c>
      <c r="T2">
        <v>12.2</v>
      </c>
      <c r="U2">
        <v>22</v>
      </c>
      <c r="V2">
        <v>1.8</v>
      </c>
      <c r="W2">
        <v>8.6999999999999993</v>
      </c>
      <c r="X2">
        <v>4.0999999999999996</v>
      </c>
      <c r="Y2">
        <v>7.8</v>
      </c>
      <c r="Z2">
        <v>12.5</v>
      </c>
      <c r="AA2">
        <v>16.2</v>
      </c>
      <c r="AB2">
        <v>8.1</v>
      </c>
      <c r="AC2">
        <v>5.4</v>
      </c>
      <c r="AD2">
        <v>5.7</v>
      </c>
      <c r="AE2">
        <v>6.8</v>
      </c>
      <c r="AF2">
        <v>-3.1</v>
      </c>
      <c r="AG2">
        <v>7</v>
      </c>
      <c r="AH2">
        <v>8.9</v>
      </c>
      <c r="AI2">
        <v>4.2</v>
      </c>
      <c r="AJ2">
        <v>4.4000000000000004</v>
      </c>
      <c r="AK2">
        <v>20.7</v>
      </c>
      <c r="AL2">
        <v>11</v>
      </c>
      <c r="AM2">
        <v>1.2</v>
      </c>
      <c r="AN2">
        <v>9.8000000000000007</v>
      </c>
      <c r="AO2">
        <v>12.9</v>
      </c>
      <c r="AP2">
        <v>11.9</v>
      </c>
      <c r="AQ2">
        <v>10.1</v>
      </c>
      <c r="AR2">
        <v>0.2</v>
      </c>
      <c r="AS2">
        <v>25.5</v>
      </c>
      <c r="AT2">
        <v>12.3</v>
      </c>
      <c r="AU2">
        <v>5.8</v>
      </c>
      <c r="AV2">
        <v>4.5</v>
      </c>
      <c r="AW2">
        <v>16.2</v>
      </c>
      <c r="AX2">
        <v>20</v>
      </c>
      <c r="AY2">
        <v>1.6</v>
      </c>
      <c r="AZ2">
        <v>1.2</v>
      </c>
      <c r="BA2">
        <v>14.5</v>
      </c>
      <c r="BB2">
        <v>14.5</v>
      </c>
      <c r="BC2">
        <v>6.3</v>
      </c>
      <c r="BD2">
        <v>10.9</v>
      </c>
      <c r="BE2">
        <v>18.8</v>
      </c>
      <c r="BF2">
        <v>16.7</v>
      </c>
      <c r="BG2">
        <v>10.9</v>
      </c>
      <c r="BH2">
        <v>0.5</v>
      </c>
      <c r="BI2">
        <v>9.5</v>
      </c>
      <c r="BJ2">
        <v>5.0999999999999996</v>
      </c>
      <c r="BK2">
        <v>7.6</v>
      </c>
      <c r="BL2">
        <v>4.2</v>
      </c>
      <c r="BM2">
        <v>5.8</v>
      </c>
      <c r="BN2">
        <v>26.9</v>
      </c>
      <c r="BO2">
        <v>8.9</v>
      </c>
      <c r="BP2">
        <v>-0.1</v>
      </c>
      <c r="BQ2">
        <v>12.2</v>
      </c>
      <c r="BR2">
        <v>2.7</v>
      </c>
      <c r="BS2">
        <v>7.6</v>
      </c>
      <c r="BT2">
        <v>6</v>
      </c>
      <c r="BU2">
        <v>17.399999999999999</v>
      </c>
    </row>
    <row r="3" spans="1:73" x14ac:dyDescent="0.3">
      <c r="A3" t="s">
        <v>9</v>
      </c>
      <c r="B3">
        <v>17.899999999999999</v>
      </c>
      <c r="C3">
        <v>10.7</v>
      </c>
      <c r="D3">
        <v>0.9</v>
      </c>
      <c r="E3">
        <v>15</v>
      </c>
      <c r="F3">
        <v>6.2</v>
      </c>
      <c r="G3">
        <v>10.1</v>
      </c>
      <c r="H3">
        <v>6.7</v>
      </c>
      <c r="I3">
        <v>4.0999999999999996</v>
      </c>
      <c r="J3">
        <v>14.9</v>
      </c>
      <c r="K3">
        <v>13.6</v>
      </c>
      <c r="L3">
        <v>15.8</v>
      </c>
      <c r="M3">
        <v>10.8</v>
      </c>
      <c r="N3">
        <v>19.899999999999999</v>
      </c>
      <c r="O3">
        <v>6.5</v>
      </c>
      <c r="P3">
        <v>13.9</v>
      </c>
      <c r="Q3">
        <v>21.2</v>
      </c>
      <c r="R3">
        <v>13.7</v>
      </c>
      <c r="S3">
        <v>3.5</v>
      </c>
      <c r="T3">
        <v>22.9</v>
      </c>
      <c r="U3">
        <v>11.1</v>
      </c>
      <c r="V3">
        <v>7.5</v>
      </c>
      <c r="W3">
        <v>0.9</v>
      </c>
      <c r="X3">
        <v>4.4000000000000004</v>
      </c>
      <c r="Y3">
        <v>11</v>
      </c>
      <c r="Z3">
        <v>8.5</v>
      </c>
      <c r="AA3">
        <v>5.9</v>
      </c>
      <c r="AB3">
        <v>12</v>
      </c>
      <c r="AC3">
        <v>21.7</v>
      </c>
      <c r="AD3">
        <v>8.3000000000000007</v>
      </c>
      <c r="AE3">
        <v>13.7</v>
      </c>
      <c r="AF3">
        <v>8.3000000000000007</v>
      </c>
      <c r="AG3">
        <v>4.7</v>
      </c>
      <c r="AH3">
        <v>15.6</v>
      </c>
      <c r="AI3">
        <v>6.9</v>
      </c>
      <c r="AJ3">
        <v>2.2999999999999998</v>
      </c>
      <c r="AK3">
        <v>25.2</v>
      </c>
      <c r="AL3">
        <v>22.1</v>
      </c>
      <c r="AM3">
        <v>4.0999999999999996</v>
      </c>
      <c r="AN3">
        <v>13.4</v>
      </c>
      <c r="AO3">
        <v>7</v>
      </c>
      <c r="AP3">
        <v>11.9</v>
      </c>
      <c r="AQ3">
        <v>13</v>
      </c>
      <c r="AR3">
        <v>22</v>
      </c>
      <c r="AS3">
        <v>8.9</v>
      </c>
      <c r="AT3">
        <v>13.9</v>
      </c>
      <c r="AU3">
        <v>7.2</v>
      </c>
      <c r="AV3">
        <v>19.8</v>
      </c>
      <c r="AW3">
        <v>14.1</v>
      </c>
      <c r="AX3">
        <v>2.9</v>
      </c>
      <c r="AY3">
        <v>9.1999999999999993</v>
      </c>
      <c r="AZ3">
        <v>10.8</v>
      </c>
      <c r="BA3">
        <v>2.2000000000000002</v>
      </c>
      <c r="BB3">
        <v>6.6</v>
      </c>
      <c r="BC3">
        <v>6.8</v>
      </c>
      <c r="BD3">
        <v>4.8</v>
      </c>
      <c r="BE3">
        <v>1.1000000000000001</v>
      </c>
      <c r="BF3">
        <v>15.9</v>
      </c>
      <c r="BG3">
        <v>6.1</v>
      </c>
      <c r="BH3">
        <v>6.7</v>
      </c>
      <c r="BI3">
        <v>32.4</v>
      </c>
      <c r="BJ3">
        <v>18.3</v>
      </c>
      <c r="BK3">
        <v>11.7</v>
      </c>
      <c r="BL3">
        <v>25.1</v>
      </c>
      <c r="BM3">
        <v>12.7</v>
      </c>
      <c r="BN3">
        <v>19.5</v>
      </c>
      <c r="BO3">
        <v>13.7</v>
      </c>
      <c r="BP3">
        <v>1.3</v>
      </c>
      <c r="BQ3">
        <v>17.600000000000001</v>
      </c>
      <c r="BR3">
        <v>8.8000000000000007</v>
      </c>
      <c r="BS3">
        <v>5.0999999999999996</v>
      </c>
      <c r="BT3">
        <v>6.2</v>
      </c>
      <c r="BU3">
        <v>3.5</v>
      </c>
    </row>
    <row r="4" spans="1:73" x14ac:dyDescent="0.3">
      <c r="A4" t="s">
        <v>11</v>
      </c>
      <c r="B4">
        <v>8.3000000000000007</v>
      </c>
      <c r="C4">
        <v>18.100000000000001</v>
      </c>
      <c r="D4">
        <v>10</v>
      </c>
      <c r="E4">
        <v>5.3</v>
      </c>
      <c r="F4">
        <v>2.2000000000000002</v>
      </c>
      <c r="G4">
        <v>6.9</v>
      </c>
      <c r="H4">
        <v>13.2</v>
      </c>
      <c r="I4">
        <v>14</v>
      </c>
      <c r="J4">
        <v>15.3</v>
      </c>
      <c r="K4">
        <v>25.1</v>
      </c>
      <c r="L4">
        <v>11.5</v>
      </c>
      <c r="M4">
        <v>15.4</v>
      </c>
      <c r="N4">
        <v>4.0999999999999996</v>
      </c>
      <c r="O4">
        <v>20.3</v>
      </c>
      <c r="P4">
        <v>9</v>
      </c>
      <c r="Q4">
        <v>0.9</v>
      </c>
      <c r="R4">
        <v>33.5</v>
      </c>
      <c r="S4">
        <v>35.4</v>
      </c>
      <c r="T4">
        <v>1.3</v>
      </c>
      <c r="U4">
        <v>8.1999999999999993</v>
      </c>
      <c r="V4">
        <v>17.7</v>
      </c>
      <c r="W4">
        <v>0.6</v>
      </c>
      <c r="X4">
        <v>6.1</v>
      </c>
      <c r="Y4">
        <v>7.6</v>
      </c>
      <c r="Z4">
        <v>27.6</v>
      </c>
      <c r="AA4">
        <v>31</v>
      </c>
      <c r="AB4">
        <v>-0.7</v>
      </c>
      <c r="AC4">
        <v>12.3</v>
      </c>
      <c r="AD4">
        <v>5.6</v>
      </c>
      <c r="AE4">
        <v>20.9</v>
      </c>
      <c r="AF4">
        <v>10.6</v>
      </c>
      <c r="AG4">
        <v>8</v>
      </c>
      <c r="AH4">
        <v>11.5</v>
      </c>
      <c r="AI4">
        <v>4</v>
      </c>
      <c r="AJ4">
        <v>5.3</v>
      </c>
      <c r="AK4">
        <v>13.7</v>
      </c>
      <c r="AL4">
        <v>13.4</v>
      </c>
      <c r="AM4">
        <v>13.8</v>
      </c>
      <c r="AN4">
        <v>4.9000000000000004</v>
      </c>
      <c r="AO4">
        <v>14.8</v>
      </c>
      <c r="AP4">
        <v>14.3</v>
      </c>
      <c r="AQ4">
        <v>12.5</v>
      </c>
      <c r="AR4">
        <v>0</v>
      </c>
      <c r="AS4">
        <v>8</v>
      </c>
      <c r="AT4">
        <v>5.0999999999999996</v>
      </c>
      <c r="AU4">
        <v>5.7</v>
      </c>
      <c r="AV4">
        <v>4.5</v>
      </c>
      <c r="AW4">
        <v>4.5999999999999996</v>
      </c>
      <c r="AX4">
        <v>26.4</v>
      </c>
      <c r="AY4">
        <v>23.4</v>
      </c>
      <c r="AZ4">
        <v>17.3</v>
      </c>
      <c r="BA4">
        <v>15.8</v>
      </c>
      <c r="BB4">
        <v>7.4</v>
      </c>
      <c r="BC4">
        <v>11.3</v>
      </c>
      <c r="BD4">
        <v>5.3</v>
      </c>
      <c r="BE4">
        <v>6.1</v>
      </c>
      <c r="BF4">
        <v>35.1</v>
      </c>
      <c r="BG4">
        <v>5.2</v>
      </c>
      <c r="BH4">
        <v>6.1</v>
      </c>
      <c r="BI4">
        <v>5.9</v>
      </c>
      <c r="BJ4">
        <v>2.1</v>
      </c>
      <c r="BK4">
        <v>22.8</v>
      </c>
      <c r="BL4">
        <v>19.600000000000001</v>
      </c>
      <c r="BM4">
        <v>2.7</v>
      </c>
      <c r="BN4">
        <v>23.6</v>
      </c>
      <c r="BO4">
        <v>23.4</v>
      </c>
      <c r="BP4">
        <v>3.9</v>
      </c>
      <c r="BQ4">
        <v>10.3</v>
      </c>
      <c r="BR4">
        <v>11.1</v>
      </c>
      <c r="BS4">
        <v>16.8</v>
      </c>
      <c r="BT4">
        <v>9.8000000000000007</v>
      </c>
      <c r="BU4">
        <v>3.8</v>
      </c>
    </row>
    <row r="5" spans="1:73" x14ac:dyDescent="0.3">
      <c r="A5" t="s">
        <v>13</v>
      </c>
      <c r="B5">
        <v>-3</v>
      </c>
      <c r="C5">
        <v>18.399999999999999</v>
      </c>
      <c r="D5">
        <v>17.3</v>
      </c>
      <c r="E5">
        <v>12</v>
      </c>
      <c r="F5">
        <v>8.5</v>
      </c>
      <c r="G5">
        <v>8.1</v>
      </c>
      <c r="H5">
        <v>1.1000000000000001</v>
      </c>
      <c r="I5">
        <v>3</v>
      </c>
      <c r="J5">
        <v>12.5</v>
      </c>
      <c r="K5">
        <v>7.3</v>
      </c>
      <c r="L5">
        <v>26</v>
      </c>
      <c r="M5">
        <v>14.5</v>
      </c>
      <c r="N5">
        <v>4</v>
      </c>
      <c r="O5">
        <v>4.5</v>
      </c>
      <c r="P5">
        <v>1.1000000000000001</v>
      </c>
      <c r="Q5">
        <v>7.8</v>
      </c>
      <c r="R5">
        <v>15.5</v>
      </c>
      <c r="S5">
        <v>10.4</v>
      </c>
      <c r="T5">
        <v>9</v>
      </c>
      <c r="U5">
        <v>8.6</v>
      </c>
      <c r="V5">
        <v>22.8</v>
      </c>
      <c r="W5">
        <v>12.3</v>
      </c>
      <c r="X5">
        <v>8.4</v>
      </c>
      <c r="Y5">
        <v>7.6</v>
      </c>
      <c r="Z5">
        <v>28.3</v>
      </c>
      <c r="AA5">
        <v>12.3</v>
      </c>
      <c r="AB5">
        <v>2.8</v>
      </c>
      <c r="AC5">
        <v>16.3</v>
      </c>
      <c r="AD5">
        <v>7.9</v>
      </c>
      <c r="AE5">
        <v>6.1</v>
      </c>
      <c r="AF5">
        <v>8.6999999999999993</v>
      </c>
      <c r="AG5">
        <v>0</v>
      </c>
      <c r="AH5">
        <v>18.5</v>
      </c>
      <c r="AI5">
        <v>11.9</v>
      </c>
      <c r="AJ5">
        <v>0.1</v>
      </c>
      <c r="AK5">
        <v>8.6999999999999993</v>
      </c>
      <c r="AL5">
        <v>1.4</v>
      </c>
      <c r="AM5">
        <v>2</v>
      </c>
      <c r="AN5">
        <v>7.1</v>
      </c>
      <c r="AO5">
        <v>9.6</v>
      </c>
      <c r="AP5">
        <v>2.4</v>
      </c>
      <c r="AQ5">
        <v>3.6</v>
      </c>
      <c r="AR5">
        <v>0</v>
      </c>
      <c r="AS5">
        <v>7</v>
      </c>
      <c r="AT5">
        <v>0</v>
      </c>
      <c r="AU5">
        <v>2.4</v>
      </c>
      <c r="AV5">
        <v>13.9</v>
      </c>
      <c r="AW5">
        <v>1.6</v>
      </c>
      <c r="AX5">
        <v>23.4</v>
      </c>
      <c r="AY5">
        <v>24.7</v>
      </c>
      <c r="AZ5">
        <v>2</v>
      </c>
      <c r="BA5">
        <v>5.6</v>
      </c>
      <c r="BB5">
        <v>0</v>
      </c>
      <c r="BC5">
        <v>13.7</v>
      </c>
      <c r="BD5">
        <v>8.3000000000000007</v>
      </c>
      <c r="BE5">
        <v>4</v>
      </c>
      <c r="BF5">
        <v>18.7</v>
      </c>
      <c r="BG5">
        <v>26.3</v>
      </c>
      <c r="BH5">
        <v>16.8</v>
      </c>
      <c r="BI5">
        <v>8.1</v>
      </c>
      <c r="BJ5">
        <v>0</v>
      </c>
      <c r="BK5">
        <v>7.7</v>
      </c>
      <c r="BL5">
        <v>8.9</v>
      </c>
      <c r="BM5">
        <v>7.9</v>
      </c>
      <c r="BN5">
        <v>3.5</v>
      </c>
      <c r="BO5">
        <v>2.5</v>
      </c>
      <c r="BP5">
        <v>5.6</v>
      </c>
      <c r="BQ5">
        <v>9.5</v>
      </c>
      <c r="BR5">
        <v>7.8</v>
      </c>
      <c r="BS5">
        <v>16.600000000000001</v>
      </c>
      <c r="BT5">
        <v>1.3</v>
      </c>
      <c r="BU5">
        <v>13.8</v>
      </c>
    </row>
    <row r="6" spans="1:73" x14ac:dyDescent="0.3">
      <c r="A6" t="s">
        <v>15</v>
      </c>
      <c r="B6">
        <v>18.899999999999999</v>
      </c>
      <c r="C6">
        <v>5.2</v>
      </c>
      <c r="D6">
        <v>3</v>
      </c>
      <c r="E6">
        <v>14.7</v>
      </c>
      <c r="F6">
        <v>17.399999999999999</v>
      </c>
      <c r="G6">
        <v>4.3</v>
      </c>
      <c r="H6">
        <v>0.7</v>
      </c>
      <c r="I6">
        <v>8.3000000000000007</v>
      </c>
      <c r="J6">
        <v>24.8</v>
      </c>
      <c r="K6">
        <v>4.5999999999999996</v>
      </c>
      <c r="L6">
        <v>2.2000000000000002</v>
      </c>
      <c r="M6">
        <v>5.3</v>
      </c>
      <c r="N6">
        <v>0</v>
      </c>
      <c r="O6">
        <v>20.6</v>
      </c>
      <c r="P6">
        <v>7.7</v>
      </c>
      <c r="Q6">
        <v>4</v>
      </c>
      <c r="R6">
        <v>13.2</v>
      </c>
      <c r="S6">
        <v>11.6</v>
      </c>
      <c r="T6">
        <v>19.399999999999999</v>
      </c>
      <c r="U6">
        <v>1.1000000000000001</v>
      </c>
      <c r="V6">
        <v>20.2</v>
      </c>
      <c r="W6">
        <v>18.899999999999999</v>
      </c>
      <c r="X6">
        <v>5.6</v>
      </c>
      <c r="Y6">
        <v>25.6</v>
      </c>
      <c r="Z6">
        <v>15.1</v>
      </c>
      <c r="AA6">
        <v>6.8</v>
      </c>
      <c r="AB6">
        <v>16.5</v>
      </c>
      <c r="AC6">
        <v>1.9</v>
      </c>
      <c r="AD6">
        <v>21.5</v>
      </c>
      <c r="AE6">
        <v>10</v>
      </c>
      <c r="AF6">
        <v>21.9</v>
      </c>
      <c r="AG6">
        <v>2.2000000000000002</v>
      </c>
      <c r="AH6">
        <v>27.3</v>
      </c>
      <c r="AI6">
        <v>11.1</v>
      </c>
      <c r="AJ6">
        <v>15.8</v>
      </c>
      <c r="AK6">
        <v>1.3</v>
      </c>
      <c r="AL6">
        <v>9.4</v>
      </c>
      <c r="AM6">
        <v>11.9</v>
      </c>
      <c r="AN6">
        <v>-4.7</v>
      </c>
      <c r="AO6">
        <v>0</v>
      </c>
      <c r="AP6">
        <v>21.4</v>
      </c>
      <c r="AQ6">
        <v>5.4</v>
      </c>
      <c r="AR6">
        <v>12.2</v>
      </c>
      <c r="AS6">
        <v>5.3</v>
      </c>
      <c r="AT6">
        <v>9</v>
      </c>
      <c r="AU6">
        <v>23.3</v>
      </c>
      <c r="AV6">
        <v>21.3</v>
      </c>
      <c r="AW6">
        <v>1.6</v>
      </c>
      <c r="AX6">
        <v>31</v>
      </c>
      <c r="AY6">
        <v>8.3000000000000007</v>
      </c>
      <c r="AZ6">
        <v>10.1</v>
      </c>
      <c r="BA6">
        <v>38.5</v>
      </c>
      <c r="BB6">
        <v>1.8</v>
      </c>
      <c r="BC6">
        <v>6.6</v>
      </c>
      <c r="BD6">
        <v>13.6</v>
      </c>
      <c r="BE6">
        <v>5.7</v>
      </c>
      <c r="BF6">
        <v>17.100000000000001</v>
      </c>
      <c r="BG6">
        <v>10.4</v>
      </c>
      <c r="BH6">
        <v>6.3</v>
      </c>
      <c r="BI6">
        <v>7.7</v>
      </c>
      <c r="BJ6">
        <v>18</v>
      </c>
      <c r="BK6">
        <v>14.2</v>
      </c>
      <c r="BL6">
        <v>-1.2</v>
      </c>
      <c r="BM6">
        <v>5.3</v>
      </c>
      <c r="BN6">
        <v>24.8</v>
      </c>
      <c r="BO6">
        <v>12.1</v>
      </c>
      <c r="BP6">
        <v>13.4</v>
      </c>
      <c r="BQ6">
        <v>7.8</v>
      </c>
      <c r="BR6">
        <v>5.5</v>
      </c>
      <c r="BS6">
        <v>3</v>
      </c>
      <c r="BT6">
        <v>10.4</v>
      </c>
      <c r="BU6">
        <v>13.2</v>
      </c>
    </row>
    <row r="7" spans="1:73" x14ac:dyDescent="0.3">
      <c r="A7" t="s">
        <v>17</v>
      </c>
      <c r="B7">
        <v>18.8</v>
      </c>
      <c r="C7">
        <v>9</v>
      </c>
      <c r="D7">
        <v>22.5</v>
      </c>
      <c r="E7">
        <v>24.2</v>
      </c>
      <c r="F7">
        <v>4.9000000000000004</v>
      </c>
      <c r="G7">
        <v>2.2999999999999998</v>
      </c>
      <c r="H7">
        <v>8.8000000000000007</v>
      </c>
      <c r="I7">
        <v>16.5</v>
      </c>
      <c r="J7">
        <v>13</v>
      </c>
      <c r="K7">
        <v>6.4</v>
      </c>
      <c r="L7">
        <v>12.9</v>
      </c>
      <c r="M7">
        <v>4.0999999999999996</v>
      </c>
      <c r="N7">
        <v>16.3</v>
      </c>
      <c r="O7">
        <v>0.6</v>
      </c>
      <c r="P7">
        <v>13.7</v>
      </c>
      <c r="Q7">
        <v>4.2</v>
      </c>
      <c r="R7">
        <v>11.7</v>
      </c>
      <c r="S7">
        <v>16.2</v>
      </c>
      <c r="T7">
        <v>3.1</v>
      </c>
      <c r="U7">
        <v>24.4</v>
      </c>
      <c r="V7">
        <v>33.299999999999997</v>
      </c>
      <c r="W7">
        <v>0</v>
      </c>
      <c r="X7">
        <v>-5.2</v>
      </c>
      <c r="Y7">
        <v>16.899999999999999</v>
      </c>
      <c r="Z7">
        <v>15.7</v>
      </c>
      <c r="AA7">
        <v>6.9</v>
      </c>
      <c r="AB7">
        <v>27.9</v>
      </c>
      <c r="AC7">
        <v>12.3</v>
      </c>
      <c r="AD7">
        <v>14.5</v>
      </c>
      <c r="AE7">
        <v>8.1</v>
      </c>
      <c r="AF7">
        <v>1.2</v>
      </c>
      <c r="AG7">
        <v>12.5</v>
      </c>
      <c r="AH7">
        <v>18</v>
      </c>
      <c r="AI7">
        <v>12.3</v>
      </c>
      <c r="AJ7">
        <v>13.7</v>
      </c>
      <c r="AK7">
        <v>19</v>
      </c>
      <c r="AL7">
        <v>17.399999999999999</v>
      </c>
      <c r="AM7">
        <v>12.7</v>
      </c>
      <c r="AN7">
        <v>0</v>
      </c>
      <c r="AO7">
        <v>0.9</v>
      </c>
      <c r="AP7">
        <v>14.2</v>
      </c>
      <c r="AQ7">
        <v>17.399999999999999</v>
      </c>
      <c r="AR7">
        <v>2.4</v>
      </c>
      <c r="AS7">
        <v>2.4</v>
      </c>
      <c r="AT7">
        <v>4.5</v>
      </c>
      <c r="AU7">
        <v>12.5</v>
      </c>
      <c r="AV7">
        <v>3</v>
      </c>
      <c r="AW7">
        <v>14.9</v>
      </c>
      <c r="AX7">
        <v>8.9</v>
      </c>
      <c r="AY7">
        <v>8.1</v>
      </c>
      <c r="AZ7">
        <v>9</v>
      </c>
      <c r="BA7">
        <v>9.1</v>
      </c>
      <c r="BB7">
        <v>0</v>
      </c>
      <c r="BC7">
        <v>12.6</v>
      </c>
      <c r="BD7">
        <v>5.0999999999999996</v>
      </c>
      <c r="BE7">
        <v>40.4</v>
      </c>
      <c r="BF7">
        <v>18.3</v>
      </c>
      <c r="BG7">
        <v>7.7</v>
      </c>
      <c r="BH7">
        <v>6.4</v>
      </c>
      <c r="BI7">
        <v>4.5999999999999996</v>
      </c>
      <c r="BJ7">
        <v>8.5</v>
      </c>
      <c r="BK7">
        <v>17.899999999999999</v>
      </c>
      <c r="BL7">
        <v>5.9</v>
      </c>
      <c r="BM7">
        <v>25.9</v>
      </c>
      <c r="BN7">
        <v>15.3</v>
      </c>
      <c r="BO7">
        <v>17.899999999999999</v>
      </c>
      <c r="BP7">
        <v>0.7</v>
      </c>
      <c r="BQ7">
        <v>7.4</v>
      </c>
      <c r="BR7">
        <v>6.9</v>
      </c>
      <c r="BS7">
        <v>8.4</v>
      </c>
      <c r="BT7">
        <v>18.399999999999999</v>
      </c>
      <c r="BU7">
        <v>15.3</v>
      </c>
    </row>
    <row r="8" spans="1:73" x14ac:dyDescent="0.3">
      <c r="A8" t="s">
        <v>6</v>
      </c>
      <c r="B8">
        <v>10.6</v>
      </c>
      <c r="C8">
        <v>6.2</v>
      </c>
      <c r="D8">
        <v>16.399999999999999</v>
      </c>
      <c r="E8">
        <v>7.3</v>
      </c>
      <c r="F8">
        <v>11.3</v>
      </c>
      <c r="G8">
        <v>5.0999999999999996</v>
      </c>
      <c r="H8">
        <v>-2.5</v>
      </c>
      <c r="I8">
        <v>2.4</v>
      </c>
      <c r="J8">
        <v>11.9</v>
      </c>
      <c r="K8">
        <v>11.1</v>
      </c>
      <c r="L8">
        <v>17.3</v>
      </c>
      <c r="M8">
        <v>18.7</v>
      </c>
      <c r="N8">
        <v>29</v>
      </c>
      <c r="O8">
        <v>3.4</v>
      </c>
      <c r="P8">
        <v>17.7</v>
      </c>
      <c r="Q8">
        <v>17.3</v>
      </c>
      <c r="R8">
        <v>26.8</v>
      </c>
      <c r="S8">
        <v>18.8</v>
      </c>
      <c r="T8">
        <v>13.9</v>
      </c>
      <c r="U8">
        <v>7.6</v>
      </c>
      <c r="V8">
        <v>1.2</v>
      </c>
      <c r="W8">
        <v>0.6</v>
      </c>
      <c r="X8">
        <v>-5.3</v>
      </c>
      <c r="Y8">
        <v>4</v>
      </c>
      <c r="Z8">
        <v>20.6</v>
      </c>
      <c r="AA8">
        <v>32.6</v>
      </c>
      <c r="AB8">
        <v>3.4</v>
      </c>
      <c r="AC8">
        <v>10.4</v>
      </c>
      <c r="AD8">
        <v>6.3</v>
      </c>
      <c r="AE8">
        <v>5.2</v>
      </c>
      <c r="AF8">
        <v>-1.3</v>
      </c>
      <c r="AG8">
        <v>15.9</v>
      </c>
      <c r="AH8">
        <v>13.5</v>
      </c>
      <c r="AI8">
        <v>14.3</v>
      </c>
      <c r="AJ8">
        <v>31.3</v>
      </c>
      <c r="AK8">
        <v>4.5999999999999996</v>
      </c>
      <c r="AL8">
        <v>17.2</v>
      </c>
      <c r="AM8">
        <v>5.8</v>
      </c>
      <c r="AN8">
        <v>6</v>
      </c>
      <c r="AO8">
        <v>3.9</v>
      </c>
      <c r="AP8">
        <v>27.8</v>
      </c>
      <c r="AQ8">
        <v>26.6</v>
      </c>
      <c r="AR8">
        <v>31.5</v>
      </c>
      <c r="AS8">
        <v>9.1</v>
      </c>
      <c r="AT8">
        <v>14.2</v>
      </c>
      <c r="AU8">
        <v>11.5</v>
      </c>
      <c r="AV8">
        <v>3.3</v>
      </c>
      <c r="AW8">
        <v>5.4</v>
      </c>
      <c r="AX8">
        <v>23.9</v>
      </c>
      <c r="AY8">
        <v>20.7</v>
      </c>
      <c r="AZ8">
        <v>4.9000000000000004</v>
      </c>
      <c r="BA8">
        <v>4.7</v>
      </c>
      <c r="BB8">
        <v>9.9</v>
      </c>
      <c r="BC8">
        <v>9.3000000000000007</v>
      </c>
      <c r="BD8">
        <v>3.7</v>
      </c>
      <c r="BE8">
        <v>4.9000000000000004</v>
      </c>
      <c r="BF8">
        <v>10.5</v>
      </c>
      <c r="BG8">
        <v>13.1</v>
      </c>
      <c r="BH8">
        <v>20.399999999999999</v>
      </c>
      <c r="BI8">
        <v>15.2</v>
      </c>
      <c r="BJ8">
        <v>10.8</v>
      </c>
      <c r="BK8">
        <v>2.1</v>
      </c>
      <c r="BL8">
        <v>14.4</v>
      </c>
      <c r="BM8">
        <v>5.3</v>
      </c>
      <c r="BN8">
        <v>8.3000000000000007</v>
      </c>
      <c r="BO8">
        <v>10.199999999999999</v>
      </c>
      <c r="BP8">
        <v>2.4</v>
      </c>
      <c r="BQ8">
        <v>5.5</v>
      </c>
      <c r="BR8">
        <v>4.5999999999999996</v>
      </c>
      <c r="BS8">
        <v>0</v>
      </c>
      <c r="BT8">
        <v>-1.1000000000000001</v>
      </c>
      <c r="BU8">
        <v>23.4</v>
      </c>
    </row>
    <row r="9" spans="1:73" x14ac:dyDescent="0.3">
      <c r="A9" t="s">
        <v>8</v>
      </c>
      <c r="B9">
        <v>13.1</v>
      </c>
      <c r="C9">
        <v>7</v>
      </c>
      <c r="D9">
        <v>43.1</v>
      </c>
      <c r="E9">
        <v>9.1999999999999993</v>
      </c>
      <c r="F9">
        <v>12.6</v>
      </c>
      <c r="G9">
        <v>15.4</v>
      </c>
      <c r="H9">
        <v>28.8</v>
      </c>
      <c r="I9">
        <v>19.899999999999999</v>
      </c>
      <c r="J9">
        <v>11.8</v>
      </c>
      <c r="K9">
        <v>13.1</v>
      </c>
      <c r="L9">
        <v>24.4</v>
      </c>
      <c r="M9">
        <v>10.1</v>
      </c>
      <c r="N9">
        <v>11.1</v>
      </c>
      <c r="O9">
        <v>10.8</v>
      </c>
      <c r="P9">
        <v>-0.7</v>
      </c>
      <c r="Q9">
        <v>3.3</v>
      </c>
      <c r="R9">
        <v>8.3000000000000007</v>
      </c>
      <c r="S9">
        <v>15.5</v>
      </c>
      <c r="T9">
        <v>24.8</v>
      </c>
      <c r="U9">
        <v>12.8</v>
      </c>
      <c r="V9">
        <v>1.3</v>
      </c>
      <c r="W9">
        <v>0.8</v>
      </c>
      <c r="X9">
        <v>13.2</v>
      </c>
      <c r="Y9">
        <v>17.600000000000001</v>
      </c>
      <c r="Z9">
        <v>27.3</v>
      </c>
      <c r="AA9">
        <v>22.5</v>
      </c>
      <c r="AB9">
        <v>14.1</v>
      </c>
      <c r="AC9">
        <v>1.6</v>
      </c>
      <c r="AD9">
        <v>9.9</v>
      </c>
      <c r="AE9">
        <v>1.4</v>
      </c>
      <c r="AF9">
        <v>11.9</v>
      </c>
      <c r="AG9">
        <v>8.1999999999999993</v>
      </c>
      <c r="AH9">
        <v>26.2</v>
      </c>
      <c r="AI9">
        <v>30.9</v>
      </c>
      <c r="AJ9">
        <v>13.1</v>
      </c>
      <c r="AK9">
        <v>7.3</v>
      </c>
      <c r="AL9">
        <v>1.1000000000000001</v>
      </c>
      <c r="AM9">
        <v>8.1</v>
      </c>
      <c r="AN9">
        <v>25.1</v>
      </c>
      <c r="AO9">
        <v>6.9</v>
      </c>
      <c r="AP9">
        <v>15.1</v>
      </c>
      <c r="AQ9">
        <v>20.8</v>
      </c>
      <c r="AR9">
        <v>13.5</v>
      </c>
      <c r="AS9">
        <v>16.3</v>
      </c>
      <c r="AT9">
        <v>17</v>
      </c>
      <c r="AU9">
        <v>0</v>
      </c>
      <c r="AV9">
        <v>5.7</v>
      </c>
      <c r="AW9">
        <v>16.7</v>
      </c>
      <c r="AX9">
        <v>25.7</v>
      </c>
      <c r="AY9">
        <v>13.7</v>
      </c>
      <c r="AZ9">
        <v>8.6999999999999993</v>
      </c>
      <c r="BA9">
        <v>1.9</v>
      </c>
      <c r="BB9">
        <v>18.3</v>
      </c>
      <c r="BC9">
        <v>13.4</v>
      </c>
      <c r="BD9">
        <v>15.4</v>
      </c>
      <c r="BE9">
        <v>9.1</v>
      </c>
      <c r="BF9">
        <v>13.4</v>
      </c>
      <c r="BG9">
        <v>8.3000000000000007</v>
      </c>
      <c r="BH9">
        <v>7.3</v>
      </c>
      <c r="BI9">
        <v>9.1</v>
      </c>
      <c r="BJ9">
        <v>8.5</v>
      </c>
      <c r="BK9">
        <v>4.5999999999999996</v>
      </c>
      <c r="BL9">
        <v>6.2</v>
      </c>
      <c r="BM9">
        <v>7.8</v>
      </c>
      <c r="BN9">
        <v>18.399999999999999</v>
      </c>
      <c r="BO9">
        <v>5.0999999999999996</v>
      </c>
      <c r="BP9">
        <v>11.9</v>
      </c>
      <c r="BQ9">
        <v>17</v>
      </c>
      <c r="BR9">
        <v>1.8</v>
      </c>
      <c r="BS9">
        <v>1</v>
      </c>
      <c r="BT9">
        <v>13.9</v>
      </c>
      <c r="BU9">
        <v>8.1</v>
      </c>
    </row>
    <row r="10" spans="1:73" x14ac:dyDescent="0.3">
      <c r="A10" t="s">
        <v>10</v>
      </c>
      <c r="B10">
        <v>15.6</v>
      </c>
      <c r="C10">
        <v>3.5</v>
      </c>
      <c r="D10">
        <v>10.9</v>
      </c>
      <c r="E10">
        <v>9.9</v>
      </c>
      <c r="F10">
        <v>16.399999999999999</v>
      </c>
      <c r="G10">
        <v>5.8</v>
      </c>
      <c r="H10">
        <v>0.1</v>
      </c>
      <c r="I10">
        <v>11.6</v>
      </c>
      <c r="J10">
        <v>22.2</v>
      </c>
      <c r="K10">
        <v>3.2</v>
      </c>
      <c r="L10">
        <v>23</v>
      </c>
      <c r="M10">
        <v>9.1999999999999993</v>
      </c>
      <c r="N10">
        <v>4.5</v>
      </c>
      <c r="O10">
        <v>7.2</v>
      </c>
      <c r="P10">
        <v>6</v>
      </c>
      <c r="Q10">
        <v>5.4</v>
      </c>
      <c r="R10">
        <v>20.8</v>
      </c>
      <c r="S10">
        <v>4</v>
      </c>
      <c r="T10">
        <v>21.3</v>
      </c>
      <c r="U10">
        <v>22.1</v>
      </c>
      <c r="V10">
        <v>15.3</v>
      </c>
      <c r="W10">
        <v>2.7</v>
      </c>
      <c r="X10">
        <v>3.6</v>
      </c>
      <c r="Y10">
        <v>3.9</v>
      </c>
      <c r="Z10">
        <v>19</v>
      </c>
      <c r="AA10">
        <v>14.8</v>
      </c>
      <c r="AB10">
        <v>16.100000000000001</v>
      </c>
      <c r="AC10">
        <v>14.8</v>
      </c>
      <c r="AD10">
        <v>4.5999999999999996</v>
      </c>
      <c r="AE10">
        <v>6.9</v>
      </c>
      <c r="AF10">
        <v>-1.7</v>
      </c>
      <c r="AG10">
        <v>5.2</v>
      </c>
      <c r="AH10">
        <v>13</v>
      </c>
      <c r="AI10">
        <v>7.3</v>
      </c>
      <c r="AJ10">
        <v>7.4</v>
      </c>
      <c r="AK10">
        <v>26.4</v>
      </c>
      <c r="AL10">
        <v>7.3</v>
      </c>
      <c r="AM10">
        <v>6.8</v>
      </c>
      <c r="AN10">
        <v>2</v>
      </c>
      <c r="AO10">
        <v>8.4</v>
      </c>
      <c r="AP10">
        <v>11.5</v>
      </c>
      <c r="AQ10">
        <v>8.9</v>
      </c>
      <c r="AR10">
        <v>8.6999999999999993</v>
      </c>
      <c r="AS10">
        <v>19.100000000000001</v>
      </c>
      <c r="AT10">
        <v>11.3</v>
      </c>
      <c r="AU10">
        <v>3.2</v>
      </c>
      <c r="AV10">
        <v>7.9</v>
      </c>
      <c r="AW10">
        <v>18.600000000000001</v>
      </c>
      <c r="AX10">
        <v>19.100000000000001</v>
      </c>
      <c r="AY10">
        <v>10.5</v>
      </c>
      <c r="AZ10">
        <v>2.9</v>
      </c>
      <c r="BA10">
        <v>5.6</v>
      </c>
      <c r="BB10">
        <v>9.8000000000000007</v>
      </c>
      <c r="BC10">
        <v>2.7</v>
      </c>
      <c r="BD10">
        <v>12.2</v>
      </c>
      <c r="BE10">
        <v>9.5</v>
      </c>
      <c r="BF10">
        <v>11.8</v>
      </c>
      <c r="BG10">
        <v>6.6</v>
      </c>
      <c r="BH10">
        <v>11.7</v>
      </c>
      <c r="BI10">
        <v>10.199999999999999</v>
      </c>
      <c r="BJ10">
        <v>5.2</v>
      </c>
      <c r="BK10">
        <v>7.1</v>
      </c>
      <c r="BL10">
        <v>2</v>
      </c>
      <c r="BM10">
        <v>15.8</v>
      </c>
      <c r="BN10">
        <v>18.7</v>
      </c>
      <c r="BO10">
        <v>8.4</v>
      </c>
      <c r="BP10">
        <v>2.1</v>
      </c>
      <c r="BQ10">
        <v>1.1000000000000001</v>
      </c>
      <c r="BR10">
        <v>14.8</v>
      </c>
      <c r="BS10">
        <v>8.9</v>
      </c>
      <c r="BT10">
        <v>0</v>
      </c>
      <c r="BU10">
        <v>26.2</v>
      </c>
    </row>
    <row r="11" spans="1:73" x14ac:dyDescent="0.3">
      <c r="A11" t="s">
        <v>12</v>
      </c>
      <c r="B11">
        <v>25.5</v>
      </c>
      <c r="C11">
        <v>15.2</v>
      </c>
      <c r="D11">
        <v>5.7</v>
      </c>
      <c r="E11">
        <v>7</v>
      </c>
      <c r="F11">
        <v>4.7</v>
      </c>
      <c r="G11">
        <v>6.1</v>
      </c>
      <c r="H11">
        <v>4.4000000000000004</v>
      </c>
      <c r="I11">
        <v>9.6</v>
      </c>
      <c r="J11">
        <v>22.6</v>
      </c>
      <c r="K11">
        <v>7.4</v>
      </c>
      <c r="L11">
        <v>10.6</v>
      </c>
      <c r="M11">
        <v>18.8</v>
      </c>
      <c r="N11">
        <v>11.4</v>
      </c>
      <c r="O11">
        <v>7.8</v>
      </c>
      <c r="P11">
        <v>5.6</v>
      </c>
      <c r="Q11">
        <v>4.8</v>
      </c>
      <c r="R11">
        <v>7.6</v>
      </c>
      <c r="S11">
        <v>25.4</v>
      </c>
      <c r="T11">
        <v>12.2</v>
      </c>
      <c r="U11">
        <v>10.199999999999999</v>
      </c>
      <c r="V11">
        <v>18.2</v>
      </c>
      <c r="W11">
        <v>1.9</v>
      </c>
      <c r="X11">
        <v>3.3</v>
      </c>
      <c r="Y11">
        <v>2.7</v>
      </c>
      <c r="Z11">
        <v>11.3</v>
      </c>
      <c r="AA11">
        <v>11.9</v>
      </c>
      <c r="AB11">
        <v>9.5</v>
      </c>
      <c r="AC11">
        <v>15.2</v>
      </c>
      <c r="AD11">
        <v>18.899999999999999</v>
      </c>
      <c r="AE11">
        <v>3.6</v>
      </c>
      <c r="AF11">
        <v>8.6</v>
      </c>
      <c r="AG11">
        <v>6.4</v>
      </c>
      <c r="AH11">
        <v>1.4</v>
      </c>
      <c r="AI11">
        <v>10.1</v>
      </c>
      <c r="AJ11">
        <v>10.7</v>
      </c>
      <c r="AK11">
        <v>7.4</v>
      </c>
      <c r="AL11">
        <v>4.5999999999999996</v>
      </c>
      <c r="AM11">
        <v>1.1000000000000001</v>
      </c>
      <c r="AN11">
        <v>11</v>
      </c>
      <c r="AO11">
        <v>5.9</v>
      </c>
      <c r="AP11">
        <v>20.7</v>
      </c>
      <c r="AQ11">
        <v>7.7</v>
      </c>
      <c r="AR11">
        <v>27.5</v>
      </c>
      <c r="AS11">
        <v>8.9</v>
      </c>
      <c r="AT11">
        <v>2.6</v>
      </c>
      <c r="AU11">
        <v>5.7</v>
      </c>
      <c r="AV11">
        <v>20.5</v>
      </c>
      <c r="AW11">
        <v>4.2</v>
      </c>
      <c r="AX11">
        <v>7.4</v>
      </c>
      <c r="AY11">
        <v>3.4</v>
      </c>
      <c r="AZ11">
        <v>19</v>
      </c>
      <c r="BA11">
        <v>5.5</v>
      </c>
      <c r="BB11">
        <v>11.7</v>
      </c>
      <c r="BC11">
        <v>22.4</v>
      </c>
      <c r="BD11">
        <v>13.1</v>
      </c>
      <c r="BE11">
        <v>6.3</v>
      </c>
      <c r="BF11">
        <v>12.6</v>
      </c>
      <c r="BG11">
        <v>12.1</v>
      </c>
      <c r="BH11">
        <v>14.9</v>
      </c>
      <c r="BI11">
        <v>11.2</v>
      </c>
      <c r="BJ11">
        <v>19.5</v>
      </c>
      <c r="BK11">
        <v>1</v>
      </c>
      <c r="BL11">
        <v>13.7</v>
      </c>
      <c r="BM11">
        <v>8.1999999999999993</v>
      </c>
      <c r="BN11">
        <v>20.100000000000001</v>
      </c>
      <c r="BO11">
        <v>9.1999999999999993</v>
      </c>
      <c r="BP11">
        <v>8.4</v>
      </c>
      <c r="BQ11">
        <v>10.5</v>
      </c>
      <c r="BR11">
        <v>12.8</v>
      </c>
      <c r="BS11">
        <v>10.199999999999999</v>
      </c>
      <c r="BT11">
        <v>10.9</v>
      </c>
      <c r="BU11">
        <v>23.6</v>
      </c>
    </row>
    <row r="12" spans="1:73" x14ac:dyDescent="0.3">
      <c r="A12" t="s">
        <v>14</v>
      </c>
      <c r="B12">
        <v>16.5</v>
      </c>
      <c r="C12">
        <v>9.6999999999999993</v>
      </c>
      <c r="D12">
        <v>0.1</v>
      </c>
      <c r="E12">
        <v>10.4</v>
      </c>
      <c r="F12">
        <v>9.6</v>
      </c>
      <c r="G12">
        <v>0</v>
      </c>
      <c r="H12">
        <v>1.3</v>
      </c>
      <c r="I12">
        <v>8.3000000000000007</v>
      </c>
      <c r="J12">
        <v>18.5</v>
      </c>
      <c r="K12">
        <v>11.4</v>
      </c>
      <c r="L12">
        <v>13.6</v>
      </c>
      <c r="M12">
        <v>3.6</v>
      </c>
      <c r="N12">
        <v>4.0999999999999996</v>
      </c>
      <c r="O12">
        <v>4.7</v>
      </c>
      <c r="P12">
        <v>8.6999999999999993</v>
      </c>
      <c r="Q12">
        <v>4.7</v>
      </c>
      <c r="R12">
        <v>24.8</v>
      </c>
      <c r="S12">
        <v>3.1</v>
      </c>
      <c r="T12">
        <v>3.3</v>
      </c>
      <c r="U12">
        <v>27.4</v>
      </c>
      <c r="V12">
        <v>2.9</v>
      </c>
      <c r="W12">
        <v>2.9</v>
      </c>
      <c r="X12">
        <v>9.8000000000000007</v>
      </c>
      <c r="Y12">
        <v>6.9</v>
      </c>
      <c r="Z12">
        <v>23.1</v>
      </c>
      <c r="AA12">
        <v>1.2</v>
      </c>
      <c r="AB12">
        <v>7.8</v>
      </c>
      <c r="AC12">
        <v>11.2</v>
      </c>
      <c r="AD12">
        <v>14.5</v>
      </c>
      <c r="AE12">
        <v>0</v>
      </c>
      <c r="AF12">
        <v>8.1999999999999993</v>
      </c>
      <c r="AG12">
        <v>2.7</v>
      </c>
      <c r="AH12">
        <v>24</v>
      </c>
      <c r="AI12">
        <v>9.5</v>
      </c>
      <c r="AJ12">
        <v>19.899999999999999</v>
      </c>
      <c r="AK12">
        <v>8.1</v>
      </c>
      <c r="AL12">
        <v>11.7</v>
      </c>
      <c r="AM12">
        <v>1.9</v>
      </c>
      <c r="AN12">
        <v>7.7</v>
      </c>
      <c r="AO12">
        <v>4.8</v>
      </c>
      <c r="AP12">
        <v>0.7</v>
      </c>
      <c r="AQ12">
        <v>6.3</v>
      </c>
      <c r="AR12">
        <v>4.7</v>
      </c>
      <c r="AS12">
        <v>22.8</v>
      </c>
      <c r="AT12">
        <v>5.5</v>
      </c>
      <c r="AU12">
        <v>5.6</v>
      </c>
      <c r="AV12">
        <v>1.5</v>
      </c>
      <c r="AW12">
        <v>6.5</v>
      </c>
      <c r="AX12">
        <v>11.9</v>
      </c>
      <c r="AY12">
        <v>0.9</v>
      </c>
      <c r="AZ12">
        <v>21.3</v>
      </c>
      <c r="BA12">
        <v>4.4000000000000004</v>
      </c>
      <c r="BB12">
        <v>3.2</v>
      </c>
      <c r="BC12">
        <v>3.3</v>
      </c>
      <c r="BD12">
        <v>-3.1</v>
      </c>
      <c r="BE12">
        <v>0</v>
      </c>
      <c r="BF12">
        <v>9.9</v>
      </c>
      <c r="BG12">
        <v>11.2</v>
      </c>
      <c r="BH12">
        <v>2.6</v>
      </c>
      <c r="BI12">
        <v>14.9</v>
      </c>
      <c r="BJ12">
        <v>2.4</v>
      </c>
      <c r="BK12">
        <v>4.4000000000000004</v>
      </c>
      <c r="BL12">
        <v>18.7</v>
      </c>
      <c r="BM12">
        <v>0</v>
      </c>
      <c r="BN12">
        <v>16.899999999999999</v>
      </c>
      <c r="BO12">
        <v>19.3</v>
      </c>
      <c r="BP12">
        <v>0</v>
      </c>
      <c r="BQ12">
        <v>9.5</v>
      </c>
      <c r="BR12">
        <v>9.8000000000000007</v>
      </c>
      <c r="BS12">
        <v>0</v>
      </c>
      <c r="BT12">
        <v>3.4</v>
      </c>
      <c r="BU12">
        <v>4.3</v>
      </c>
    </row>
    <row r="13" spans="1:73" x14ac:dyDescent="0.3">
      <c r="A13" t="s">
        <v>16</v>
      </c>
      <c r="B13">
        <v>17.100000000000001</v>
      </c>
      <c r="C13">
        <v>14.1</v>
      </c>
      <c r="D13">
        <v>10.6</v>
      </c>
      <c r="E13">
        <v>23.3</v>
      </c>
      <c r="F13">
        <v>13</v>
      </c>
      <c r="G13">
        <v>13.3</v>
      </c>
      <c r="H13">
        <v>7</v>
      </c>
      <c r="I13">
        <v>1.5</v>
      </c>
      <c r="J13">
        <v>15.9</v>
      </c>
      <c r="K13">
        <v>0.7</v>
      </c>
      <c r="L13">
        <v>10.199999999999999</v>
      </c>
      <c r="M13">
        <v>6.9</v>
      </c>
      <c r="N13">
        <v>10</v>
      </c>
      <c r="O13">
        <v>12.2</v>
      </c>
      <c r="P13">
        <v>8.6</v>
      </c>
      <c r="Q13">
        <v>2.2000000000000002</v>
      </c>
      <c r="R13">
        <v>22.9</v>
      </c>
      <c r="S13">
        <v>6.8</v>
      </c>
      <c r="T13">
        <v>27.8</v>
      </c>
      <c r="U13">
        <v>17.5</v>
      </c>
      <c r="V13">
        <v>0</v>
      </c>
      <c r="W13">
        <v>13.5</v>
      </c>
      <c r="X13">
        <v>1.1000000000000001</v>
      </c>
      <c r="Y13">
        <v>1.1000000000000001</v>
      </c>
      <c r="Z13">
        <v>22.6</v>
      </c>
      <c r="AA13">
        <v>27.1</v>
      </c>
      <c r="AB13">
        <v>1.2</v>
      </c>
      <c r="AC13">
        <v>6</v>
      </c>
      <c r="AD13">
        <v>12.4</v>
      </c>
      <c r="AE13">
        <v>10.6</v>
      </c>
      <c r="AF13">
        <v>6.5</v>
      </c>
      <c r="AG13">
        <v>13.3</v>
      </c>
      <c r="AH13">
        <v>29.7</v>
      </c>
      <c r="AI13">
        <v>7.6</v>
      </c>
      <c r="AJ13">
        <v>9.9</v>
      </c>
      <c r="AK13">
        <v>14.8</v>
      </c>
      <c r="AL13">
        <v>4.9000000000000004</v>
      </c>
      <c r="AM13">
        <v>15.1</v>
      </c>
      <c r="AN13">
        <v>-1.1000000000000001</v>
      </c>
      <c r="AO13">
        <v>6.6</v>
      </c>
      <c r="AP13">
        <v>9.9</v>
      </c>
      <c r="AQ13">
        <v>18.100000000000001</v>
      </c>
      <c r="AR13">
        <v>9.6</v>
      </c>
      <c r="AS13">
        <v>5</v>
      </c>
      <c r="AT13">
        <v>4.3</v>
      </c>
      <c r="AU13">
        <v>14.8</v>
      </c>
      <c r="AV13">
        <v>3.4</v>
      </c>
      <c r="AW13">
        <v>15.8</v>
      </c>
      <c r="AX13">
        <v>30</v>
      </c>
      <c r="AY13">
        <v>6.5</v>
      </c>
      <c r="AZ13">
        <v>7.2</v>
      </c>
      <c r="BA13">
        <v>22.2</v>
      </c>
      <c r="BB13">
        <v>8.8000000000000007</v>
      </c>
      <c r="BC13">
        <v>17.399999999999999</v>
      </c>
      <c r="BD13">
        <v>7.1</v>
      </c>
      <c r="BE13">
        <v>14.9</v>
      </c>
      <c r="BF13">
        <v>7.3</v>
      </c>
      <c r="BG13">
        <v>13.6</v>
      </c>
      <c r="BH13">
        <v>23.2</v>
      </c>
      <c r="BI13">
        <v>2.8</v>
      </c>
      <c r="BJ13">
        <v>3.3</v>
      </c>
      <c r="BK13">
        <v>11.4</v>
      </c>
      <c r="BL13">
        <v>1.6</v>
      </c>
      <c r="BM13">
        <v>11.4</v>
      </c>
      <c r="BN13">
        <v>26.7</v>
      </c>
      <c r="BO13">
        <v>10.6</v>
      </c>
      <c r="BP13">
        <v>5.0999999999999996</v>
      </c>
      <c r="BQ13">
        <v>14.3</v>
      </c>
      <c r="BR13">
        <v>21</v>
      </c>
      <c r="BS13">
        <v>1.4</v>
      </c>
      <c r="BT13">
        <v>10.8</v>
      </c>
      <c r="BU13">
        <v>8.4</v>
      </c>
    </row>
    <row r="14" spans="1:73" x14ac:dyDescent="0.3">
      <c r="A14" t="s">
        <v>18</v>
      </c>
      <c r="B14">
        <v>18.7</v>
      </c>
      <c r="C14">
        <v>9.6</v>
      </c>
      <c r="D14">
        <v>6.4</v>
      </c>
      <c r="E14">
        <v>8</v>
      </c>
      <c r="F14">
        <v>1.3</v>
      </c>
      <c r="G14">
        <v>2.8</v>
      </c>
      <c r="H14">
        <v>21</v>
      </c>
      <c r="I14">
        <v>7.9</v>
      </c>
      <c r="J14">
        <v>21.2</v>
      </c>
      <c r="K14">
        <v>3.7</v>
      </c>
      <c r="L14">
        <v>1.3</v>
      </c>
      <c r="M14">
        <v>7.4</v>
      </c>
      <c r="N14">
        <v>1.2</v>
      </c>
      <c r="O14">
        <v>1.5</v>
      </c>
      <c r="P14">
        <v>2.8</v>
      </c>
      <c r="Q14">
        <v>7.4</v>
      </c>
      <c r="R14">
        <v>5.2</v>
      </c>
      <c r="S14">
        <v>6.4</v>
      </c>
      <c r="T14">
        <v>6.6</v>
      </c>
      <c r="U14">
        <v>21.5</v>
      </c>
      <c r="V14">
        <v>5.7</v>
      </c>
      <c r="W14">
        <v>2.2000000000000002</v>
      </c>
      <c r="X14">
        <v>1.9</v>
      </c>
      <c r="Y14">
        <v>2.5</v>
      </c>
      <c r="Z14">
        <v>9.6999999999999993</v>
      </c>
      <c r="AA14">
        <v>3.2</v>
      </c>
      <c r="AB14">
        <v>4.8</v>
      </c>
      <c r="AC14">
        <v>7</v>
      </c>
      <c r="AD14">
        <v>3.7</v>
      </c>
      <c r="AE14">
        <v>5.5</v>
      </c>
      <c r="AF14">
        <v>2.2000000000000002</v>
      </c>
      <c r="AG14">
        <v>20</v>
      </c>
      <c r="AH14">
        <v>15.2</v>
      </c>
      <c r="AI14">
        <v>5.3</v>
      </c>
      <c r="AJ14">
        <v>5.9</v>
      </c>
      <c r="AK14">
        <v>5.7</v>
      </c>
      <c r="AL14">
        <v>11.8</v>
      </c>
      <c r="AM14">
        <v>11.4</v>
      </c>
      <c r="AN14">
        <v>1.4</v>
      </c>
      <c r="AO14">
        <v>2.7</v>
      </c>
      <c r="AP14">
        <v>14.9</v>
      </c>
      <c r="AQ14">
        <v>8.3000000000000007</v>
      </c>
      <c r="AR14">
        <v>-0.4</v>
      </c>
      <c r="AS14">
        <v>4.5</v>
      </c>
      <c r="AT14">
        <v>9.9</v>
      </c>
      <c r="AU14">
        <v>9.5</v>
      </c>
      <c r="AV14">
        <v>15</v>
      </c>
      <c r="AW14">
        <v>2.2000000000000002</v>
      </c>
      <c r="AX14">
        <v>30.2</v>
      </c>
      <c r="AY14">
        <v>9.1</v>
      </c>
      <c r="AZ14">
        <v>4.8</v>
      </c>
      <c r="BA14">
        <v>1.4</v>
      </c>
      <c r="BB14">
        <v>9.4</v>
      </c>
      <c r="BC14">
        <v>3.9</v>
      </c>
      <c r="BD14">
        <v>0.7</v>
      </c>
      <c r="BE14">
        <v>1.6</v>
      </c>
      <c r="BF14">
        <v>12.5</v>
      </c>
      <c r="BG14">
        <v>17.8</v>
      </c>
      <c r="BH14">
        <v>9.4</v>
      </c>
      <c r="BI14">
        <v>2.4</v>
      </c>
      <c r="BJ14">
        <v>25.5</v>
      </c>
      <c r="BK14">
        <v>0</v>
      </c>
      <c r="BL14">
        <v>3</v>
      </c>
      <c r="BM14">
        <v>8.4</v>
      </c>
      <c r="BN14">
        <v>13.7</v>
      </c>
      <c r="BO14">
        <v>7.4</v>
      </c>
      <c r="BP14">
        <v>-1.9</v>
      </c>
      <c r="BQ14">
        <v>4.8</v>
      </c>
      <c r="BR14">
        <v>5.6</v>
      </c>
      <c r="BS14">
        <v>6.4</v>
      </c>
      <c r="BT14">
        <v>6.1</v>
      </c>
      <c r="BU14">
        <v>20.3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B70F-3E91-46AD-ABA0-3D8FD6EEC567}">
  <sheetPr codeName="Sheet2"/>
  <dimension ref="A1:AJ47"/>
  <sheetViews>
    <sheetView tabSelected="1" workbookViewId="0">
      <pane xSplit="1" topLeftCell="U1" activePane="topRight" state="frozen"/>
      <selection pane="topRight" activeCell="AK4" sqref="AK4"/>
    </sheetView>
  </sheetViews>
  <sheetFormatPr defaultRowHeight="14.4" x14ac:dyDescent="0.3"/>
  <cols>
    <col min="1" max="1" width="16" style="1" bestFit="1" customWidth="1"/>
    <col min="2" max="21" width="8.88671875" style="1"/>
    <col min="22" max="22" width="9.5546875" style="1" bestFit="1" customWidth="1"/>
    <col min="23" max="23" width="9.5546875" style="1" customWidth="1"/>
    <col min="24" max="24" width="10.109375" style="1" bestFit="1" customWidth="1"/>
    <col min="25" max="25" width="9.5546875" style="1" bestFit="1" customWidth="1"/>
    <col min="26" max="26" width="9.44140625" style="1" bestFit="1" customWidth="1"/>
    <col min="27" max="27" width="10" style="1" bestFit="1" customWidth="1"/>
    <col min="28" max="28" width="9.88671875" style="1" bestFit="1" customWidth="1"/>
    <col min="29" max="29" width="10" style="1" bestFit="1" customWidth="1"/>
    <col min="30" max="30" width="5" style="1" bestFit="1" customWidth="1"/>
    <col min="31" max="31" width="12.6640625" style="1" bestFit="1" customWidth="1"/>
    <col min="32" max="33" width="12.6640625" style="1" customWidth="1"/>
    <col min="34" max="34" width="16" style="1" bestFit="1" customWidth="1"/>
    <col min="35" max="35" width="13.21875" style="1" customWidth="1"/>
    <col min="36" max="36" width="11.5546875" style="1" customWidth="1"/>
    <col min="37" max="16384" width="8.88671875" style="1"/>
  </cols>
  <sheetData>
    <row r="1" spans="1:36" ht="15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230</v>
      </c>
      <c r="Q1" s="1" t="s">
        <v>34</v>
      </c>
      <c r="R1" s="16" t="s">
        <v>303</v>
      </c>
      <c r="S1" s="1" t="s">
        <v>232</v>
      </c>
      <c r="T1" s="1" t="s">
        <v>233</v>
      </c>
      <c r="U1" s="1" t="s">
        <v>223</v>
      </c>
      <c r="V1" s="1" t="s">
        <v>217</v>
      </c>
      <c r="W1" s="1" t="s">
        <v>228</v>
      </c>
      <c r="X1" s="1" t="s">
        <v>229</v>
      </c>
      <c r="Y1" s="1" t="s">
        <v>224</v>
      </c>
      <c r="Z1" s="1" t="s">
        <v>225</v>
      </c>
      <c r="AA1" s="1" t="s">
        <v>226</v>
      </c>
      <c r="AB1" s="1" t="s">
        <v>227</v>
      </c>
      <c r="AC1" s="2" t="s">
        <v>231</v>
      </c>
      <c r="AD1" s="1" t="s">
        <v>216</v>
      </c>
      <c r="AE1" s="1" t="s">
        <v>235</v>
      </c>
      <c r="AF1" s="1" t="s">
        <v>234</v>
      </c>
      <c r="AH1" s="1" t="s">
        <v>19</v>
      </c>
      <c r="AI1" s="6" t="s">
        <v>231</v>
      </c>
      <c r="AJ1" s="17" t="s">
        <v>234</v>
      </c>
    </row>
    <row r="2" spans="1:36" s="4" customFormat="1" ht="15" thickBot="1" x14ac:dyDescent="0.35">
      <c r="A2" s="3" t="s">
        <v>5</v>
      </c>
      <c r="B2" s="4">
        <v>52.9</v>
      </c>
      <c r="C2" s="4">
        <v>133</v>
      </c>
      <c r="D2" s="4">
        <v>96.5</v>
      </c>
      <c r="E2" s="4">
        <v>90.2</v>
      </c>
      <c r="F2" s="4">
        <v>86.4</v>
      </c>
      <c r="G2" s="4">
        <v>56.5</v>
      </c>
      <c r="H2" s="4">
        <v>82.3</v>
      </c>
      <c r="I2" s="4">
        <v>73</v>
      </c>
      <c r="J2" s="4">
        <v>125.7</v>
      </c>
      <c r="N2" s="4">
        <f>SUM(B2:M2)</f>
        <v>796.5</v>
      </c>
      <c r="O2" s="4">
        <f>AVERAGE(B2:M2)</f>
        <v>88.5</v>
      </c>
      <c r="P2" s="4">
        <f>MEDIAN(B2:M2)</f>
        <v>86.4</v>
      </c>
      <c r="Q2" s="4">
        <f>COUNT(B2:M2)</f>
        <v>9</v>
      </c>
      <c r="R2" s="4">
        <f>MEDIAN(F2:J2)</f>
        <v>82.3</v>
      </c>
      <c r="S2" s="5">
        <f>AVERAGE(LARGE(B2:M2,{1,2,3}))</f>
        <v>118.39999999999999</v>
      </c>
      <c r="T2" s="5">
        <f>AVERAGE(SMALL(B2:M2,{1,2,3}))</f>
        <v>60.800000000000004</v>
      </c>
      <c r="U2" s="4">
        <f t="shared" ref="U2:U15" si="0">_xlfn.STDEV.S(B2:M2)</f>
        <v>27.398540107093304</v>
      </c>
      <c r="V2" s="4">
        <f>_xlfn.STDEV.S(Intermediate!B1:LO1)</f>
        <v>7.68027573513882</v>
      </c>
      <c r="W2" s="4">
        <f>AVERAGE(Intermediate!B1:LP1)</f>
        <v>11.06111111111111</v>
      </c>
      <c r="X2" s="4">
        <f>MEDIAN(Intermediate!B1:LQ1)</f>
        <v>9.75</v>
      </c>
      <c r="Y2" s="4">
        <f t="shared" ref="Y2:Y15" si="1">MAX(B2:M2)</f>
        <v>133</v>
      </c>
      <c r="Z2" s="4">
        <f t="shared" ref="Z2:Z15" si="2">MIN(B2:M2)</f>
        <v>52.9</v>
      </c>
      <c r="AA2" s="4">
        <f>MAX(Intermediate!B1:LO1)</f>
        <v>35.700000000000003</v>
      </c>
      <c r="AB2" s="4">
        <f>MIN(Intermediate!B1:LP1)</f>
        <v>0</v>
      </c>
      <c r="AC2" s="6">
        <f>R2*0.38+P2*0.4-((U2/2)+V2*2)+X2*4+(T2+S2)*0.2+($N19+$N34)*(Q2/2.5)</f>
        <v>147.61417847617571</v>
      </c>
      <c r="AD2" s="4">
        <f>_xlfn.RANK.EQ(AC2,$AC$2:$AC$15)</f>
        <v>10</v>
      </c>
      <c r="AE2" s="4">
        <f>(AC2-AVERAGE($AC$2:$AC$15))/_xlfn.STDEV.S($AC$2:$AC$15)</f>
        <v>-0.36964392999001733</v>
      </c>
      <c r="AF2" s="4">
        <f>NORMSDIST(AE2)</f>
        <v>0.35582390721908624</v>
      </c>
      <c r="AH2" s="3" t="s">
        <v>8</v>
      </c>
      <c r="AI2" s="14">
        <v>204.12890500703466</v>
      </c>
      <c r="AJ2" s="15">
        <v>89.924512363053992</v>
      </c>
    </row>
    <row r="3" spans="1:36" s="6" customFormat="1" ht="15" thickBot="1" x14ac:dyDescent="0.35">
      <c r="A3" s="7" t="s">
        <v>7</v>
      </c>
      <c r="B3" s="6">
        <v>93.8</v>
      </c>
      <c r="C3" s="6">
        <v>70.599999999999994</v>
      </c>
      <c r="D3" s="6">
        <v>84.8</v>
      </c>
      <c r="E3" s="6">
        <v>58.6</v>
      </c>
      <c r="F3" s="6">
        <v>73.2</v>
      </c>
      <c r="G3" s="6">
        <v>86.5</v>
      </c>
      <c r="H3" s="6">
        <v>87.8</v>
      </c>
      <c r="I3" s="6">
        <v>60.3</v>
      </c>
      <c r="J3" s="6">
        <v>81.599999999999994</v>
      </c>
      <c r="N3" s="6">
        <f t="shared" ref="N3:N15" si="3">SUM(B3:M3)</f>
        <v>697.19999999999993</v>
      </c>
      <c r="O3" s="6">
        <f t="shared" ref="O3:O15" si="4">AVERAGE(B3:M3)</f>
        <v>77.466666666666654</v>
      </c>
      <c r="P3" s="6">
        <f t="shared" ref="P3:P15" si="5">MEDIAN(B3:M3)</f>
        <v>81.599999999999994</v>
      </c>
      <c r="Q3" s="6">
        <f t="shared" ref="Q3:Q15" si="6">COUNT(B3:M3)</f>
        <v>9</v>
      </c>
      <c r="R3" s="4">
        <f t="shared" ref="R3:R15" si="7">MEDIAN(F3:J3)</f>
        <v>81.599999999999994</v>
      </c>
      <c r="S3" s="8">
        <f>AVERAGE(LARGE(B3:M3,{1,2,3}))</f>
        <v>89.366666666666674</v>
      </c>
      <c r="T3" s="8">
        <f>AVERAGE(SMALL(B3:M3,{1,2,3}))</f>
        <v>63.166666666666664</v>
      </c>
      <c r="U3" s="6">
        <f t="shared" si="0"/>
        <v>12.460036115517466</v>
      </c>
      <c r="V3" s="6">
        <f>_xlfn.STDEV.S(Intermediate!B2:LO2)</f>
        <v>6.5521596566234734</v>
      </c>
      <c r="W3" s="6">
        <f>AVERAGE(Intermediate!B2:LP2)</f>
        <v>9.6819444444444436</v>
      </c>
      <c r="X3" s="6">
        <f>MEDIAN(Intermediate!B2:LQ2)</f>
        <v>8.9</v>
      </c>
      <c r="Y3" s="6">
        <f t="shared" si="1"/>
        <v>93.8</v>
      </c>
      <c r="Z3" s="6">
        <f t="shared" si="2"/>
        <v>58.6</v>
      </c>
      <c r="AA3" s="6">
        <f>MAX(Intermediate!B2:LO2)</f>
        <v>26.9</v>
      </c>
      <c r="AB3" s="6">
        <f>MIN(Intermediate!B2:LP2)</f>
        <v>-3.1</v>
      </c>
      <c r="AC3" s="6">
        <f t="shared" ref="AC3:AC15" si="8">R3*0.38+P3*0.4-((U3/2)+V3*2)+X3*4+(T3+S3)*0.3+($N20+$N35)*(Q3/2.5)</f>
        <v>154.47366262899433</v>
      </c>
      <c r="AD3" s="6">
        <f t="shared" ref="AD3:AD15" si="9">_xlfn.RANK.EQ(AC3,$AC$2:$AC$15)</f>
        <v>9</v>
      </c>
      <c r="AE3" s="6">
        <f t="shared" ref="AE3:AE15" si="10">(AC3-AVERAGE($AC$2:$AC$15))/_xlfn.STDEV.S($AC$2:$AC$15)</f>
        <v>-0.16975044997827443</v>
      </c>
      <c r="AF3" s="6">
        <f t="shared" ref="AF3:AF15" si="11">NORMSDIST(AE3)</f>
        <v>0.43260319821907928</v>
      </c>
      <c r="AH3" s="7" t="s">
        <v>17</v>
      </c>
      <c r="AI3" s="14">
        <v>202.63312315340437</v>
      </c>
      <c r="AJ3" s="15">
        <v>89.133764441040469</v>
      </c>
    </row>
    <row r="4" spans="1:36" s="6" customFormat="1" ht="15" thickBot="1" x14ac:dyDescent="0.35">
      <c r="A4" s="7" t="s">
        <v>9</v>
      </c>
      <c r="B4" s="6">
        <v>71.599999999999994</v>
      </c>
      <c r="C4" s="6">
        <v>116.6</v>
      </c>
      <c r="D4" s="6">
        <v>75</v>
      </c>
      <c r="E4" s="6">
        <v>83.1</v>
      </c>
      <c r="F4" s="6">
        <v>96.6</v>
      </c>
      <c r="G4" s="6">
        <v>110.8</v>
      </c>
      <c r="H4" s="6">
        <v>44.4</v>
      </c>
      <c r="I4" s="6">
        <v>128.80000000000001</v>
      </c>
      <c r="J4" s="6">
        <v>75.7</v>
      </c>
      <c r="N4" s="6">
        <f t="shared" si="3"/>
        <v>802.59999999999991</v>
      </c>
      <c r="O4" s="6">
        <f t="shared" si="4"/>
        <v>89.177777777777763</v>
      </c>
      <c r="P4" s="6">
        <f t="shared" si="5"/>
        <v>83.1</v>
      </c>
      <c r="Q4" s="6">
        <f t="shared" si="6"/>
        <v>9</v>
      </c>
      <c r="R4" s="4">
        <f t="shared" si="7"/>
        <v>96.6</v>
      </c>
      <c r="S4" s="8">
        <f>AVERAGE(LARGE(B4:M4,{1,2,3}))</f>
        <v>118.73333333333333</v>
      </c>
      <c r="T4" s="8">
        <f>AVERAGE(SMALL(B4:M4,{1,2,3}))</f>
        <v>63.666666666666664</v>
      </c>
      <c r="U4" s="6">
        <f t="shared" si="0"/>
        <v>26.405812701836037</v>
      </c>
      <c r="V4" s="6">
        <f>_xlfn.STDEV.S(Intermediate!B3:LO3)</f>
        <v>6.7835549501812329</v>
      </c>
      <c r="W4" s="6">
        <f>AVERAGE(Intermediate!B3:LP3)</f>
        <v>11.148611111111112</v>
      </c>
      <c r="X4" s="6">
        <f>MEDIAN(Intermediate!B3:LQ3)</f>
        <v>10.75</v>
      </c>
      <c r="Y4" s="6">
        <f t="shared" si="1"/>
        <v>128.80000000000001</v>
      </c>
      <c r="Z4" s="6">
        <f t="shared" si="2"/>
        <v>44.4</v>
      </c>
      <c r="AA4" s="6">
        <f>MAX(Intermediate!B3:LO3)</f>
        <v>32.4</v>
      </c>
      <c r="AB4" s="6">
        <f>MIN(Intermediate!B3:LP3)</f>
        <v>0.9</v>
      </c>
      <c r="AC4" s="6">
        <f t="shared" si="8"/>
        <v>169.69798374871954</v>
      </c>
      <c r="AD4" s="6">
        <f t="shared" si="9"/>
        <v>7</v>
      </c>
      <c r="AE4" s="6">
        <f t="shared" si="10"/>
        <v>0.27390427122807892</v>
      </c>
      <c r="AF4" s="6">
        <f t="shared" si="11"/>
        <v>0.60792090544660449</v>
      </c>
      <c r="AH4" s="7" t="s">
        <v>11</v>
      </c>
      <c r="AI4" s="14">
        <v>193.68888058207477</v>
      </c>
      <c r="AJ4" s="15">
        <v>83.473015180814414</v>
      </c>
    </row>
    <row r="5" spans="1:36" s="6" customFormat="1" ht="15" thickBot="1" x14ac:dyDescent="0.35">
      <c r="A5" s="7" t="s">
        <v>11</v>
      </c>
      <c r="B5" s="6">
        <v>78</v>
      </c>
      <c r="C5" s="6">
        <v>101.6</v>
      </c>
      <c r="D5" s="6">
        <v>110.4</v>
      </c>
      <c r="E5" s="6">
        <v>115.3</v>
      </c>
      <c r="F5" s="6">
        <v>81.400000000000006</v>
      </c>
      <c r="G5" s="6">
        <v>54.7</v>
      </c>
      <c r="H5" s="6">
        <v>112.9</v>
      </c>
      <c r="I5" s="6">
        <v>99.5</v>
      </c>
      <c r="J5" s="6">
        <v>102.6</v>
      </c>
      <c r="N5" s="6">
        <f t="shared" si="3"/>
        <v>856.40000000000009</v>
      </c>
      <c r="O5" s="6">
        <f t="shared" si="4"/>
        <v>95.155555555555566</v>
      </c>
      <c r="P5" s="6">
        <f t="shared" si="5"/>
        <v>101.6</v>
      </c>
      <c r="Q5" s="6">
        <f t="shared" si="6"/>
        <v>9</v>
      </c>
      <c r="R5" s="4">
        <f t="shared" si="7"/>
        <v>99.5</v>
      </c>
      <c r="S5" s="8">
        <f>AVERAGE(LARGE(B5:M5,{1,2,3}))</f>
        <v>112.86666666666667</v>
      </c>
      <c r="T5" s="8">
        <f>AVERAGE(SMALL(B5:M5,{1,2,3}))</f>
        <v>71.36666666666666</v>
      </c>
      <c r="U5" s="6">
        <f t="shared" si="0"/>
        <v>19.96579018666116</v>
      </c>
      <c r="V5" s="6">
        <f>_xlfn.STDEV.S(Intermediate!B4:LO4)</f>
        <v>8.7241121622973328</v>
      </c>
      <c r="W5" s="6">
        <f>AVERAGE(Intermediate!B4:LP4)</f>
        <v>11.897222222222222</v>
      </c>
      <c r="X5" s="6">
        <f>MEDIAN(Intermediate!B4:LQ4)</f>
        <v>10.15</v>
      </c>
      <c r="Y5" s="6">
        <f t="shared" si="1"/>
        <v>115.3</v>
      </c>
      <c r="Z5" s="6">
        <f t="shared" si="2"/>
        <v>54.7</v>
      </c>
      <c r="AA5" s="6">
        <f>MAX(Intermediate!B4:LO4)</f>
        <v>35.4</v>
      </c>
      <c r="AB5" s="6">
        <f>MIN(Intermediate!B4:LP4)</f>
        <v>-0.7</v>
      </c>
      <c r="AC5" s="6">
        <f t="shared" si="8"/>
        <v>193.68888058207477</v>
      </c>
      <c r="AD5" s="6">
        <f t="shared" si="9"/>
        <v>3</v>
      </c>
      <c r="AE5" s="6">
        <f t="shared" si="10"/>
        <v>0.97302737579149079</v>
      </c>
      <c r="AF5" s="6">
        <f t="shared" si="11"/>
        <v>0.83473015180814414</v>
      </c>
      <c r="AH5" s="7" t="s">
        <v>16</v>
      </c>
      <c r="AI5" s="14">
        <v>181.64385259449446</v>
      </c>
      <c r="AJ5" s="15">
        <v>73.303597555259188</v>
      </c>
    </row>
    <row r="6" spans="1:36" s="6" customFormat="1" ht="15" thickBot="1" x14ac:dyDescent="0.35">
      <c r="A6" s="7" t="s">
        <v>13</v>
      </c>
      <c r="B6" s="6">
        <v>65.400000000000006</v>
      </c>
      <c r="C6" s="6">
        <v>77.7</v>
      </c>
      <c r="D6" s="6">
        <v>94.7</v>
      </c>
      <c r="E6" s="6">
        <v>82.5</v>
      </c>
      <c r="F6" s="6">
        <v>59.3</v>
      </c>
      <c r="G6" s="6">
        <v>30.9</v>
      </c>
      <c r="H6" s="6">
        <v>81.599999999999994</v>
      </c>
      <c r="I6" s="6">
        <v>94.4</v>
      </c>
      <c r="J6" s="6">
        <v>60.5</v>
      </c>
      <c r="N6" s="6">
        <f t="shared" si="3"/>
        <v>647</v>
      </c>
      <c r="O6" s="6">
        <f t="shared" si="4"/>
        <v>71.888888888888886</v>
      </c>
      <c r="P6" s="6">
        <f t="shared" si="5"/>
        <v>77.7</v>
      </c>
      <c r="Q6" s="6">
        <f t="shared" si="6"/>
        <v>9</v>
      </c>
      <c r="R6" s="4">
        <f t="shared" si="7"/>
        <v>60.5</v>
      </c>
      <c r="S6" s="8">
        <f>AVERAGE(LARGE(B6:M6,{1,2,3}))</f>
        <v>90.533333333333346</v>
      </c>
      <c r="T6" s="8">
        <f>AVERAGE(SMALL(B6:M6,{1,2,3}))</f>
        <v>50.233333333333327</v>
      </c>
      <c r="U6" s="6">
        <f t="shared" si="0"/>
        <v>20.242742183585491</v>
      </c>
      <c r="V6" s="6">
        <f>_xlfn.STDEV.S(Intermediate!B5:LO5)</f>
        <v>7.2428168505866868</v>
      </c>
      <c r="W6" s="6">
        <f>AVERAGE(Intermediate!B5:LP5)</f>
        <v>8.9861111111111089</v>
      </c>
      <c r="X6" s="6">
        <f>MEDIAN(Intermediate!B5:LQ5)</f>
        <v>8</v>
      </c>
      <c r="Y6" s="6">
        <f t="shared" si="1"/>
        <v>94.7</v>
      </c>
      <c r="Z6" s="6">
        <f t="shared" si="2"/>
        <v>30.9</v>
      </c>
      <c r="AA6" s="6">
        <f>MAX(Intermediate!B5:LO5)</f>
        <v>28.3</v>
      </c>
      <c r="AB6" s="6">
        <f>MIN(Intermediate!B5:LP5)</f>
        <v>-3</v>
      </c>
      <c r="AC6" s="6">
        <f t="shared" si="8"/>
        <v>118.09299520703389</v>
      </c>
      <c r="AD6" s="6">
        <f t="shared" si="9"/>
        <v>12</v>
      </c>
      <c r="AE6" s="6">
        <f t="shared" si="10"/>
        <v>-1.2299261212256931</v>
      </c>
      <c r="AF6" s="6">
        <f t="shared" si="11"/>
        <v>0.10936238577739563</v>
      </c>
      <c r="AH6" s="7" t="s">
        <v>12</v>
      </c>
      <c r="AI6" s="14">
        <v>180.32989362833297</v>
      </c>
      <c r="AJ6" s="15">
        <v>72.0299244790003</v>
      </c>
    </row>
    <row r="7" spans="1:36" s="6" customFormat="1" ht="15" thickBot="1" x14ac:dyDescent="0.35">
      <c r="A7" s="7" t="s">
        <v>15</v>
      </c>
      <c r="B7" s="6">
        <v>72.5</v>
      </c>
      <c r="C7" s="6">
        <v>69.2</v>
      </c>
      <c r="D7" s="6">
        <v>115.6</v>
      </c>
      <c r="E7" s="6">
        <v>95.8</v>
      </c>
      <c r="F7" s="6">
        <v>72</v>
      </c>
      <c r="G7" s="6">
        <v>99.5</v>
      </c>
      <c r="H7" s="6">
        <v>115.6</v>
      </c>
      <c r="I7" s="6">
        <v>77.900000000000006</v>
      </c>
      <c r="J7" s="6">
        <v>90.1</v>
      </c>
      <c r="N7" s="6">
        <f t="shared" si="3"/>
        <v>808.19999999999993</v>
      </c>
      <c r="O7" s="6">
        <f t="shared" si="4"/>
        <v>89.8</v>
      </c>
      <c r="P7" s="6">
        <f t="shared" si="5"/>
        <v>90.1</v>
      </c>
      <c r="Q7" s="6">
        <f t="shared" si="6"/>
        <v>9</v>
      </c>
      <c r="R7" s="4">
        <f t="shared" si="7"/>
        <v>90.1</v>
      </c>
      <c r="S7" s="8">
        <f>AVERAGE(LARGE(B7:M7,{1,2,3}))</f>
        <v>110.23333333333333</v>
      </c>
      <c r="T7" s="8">
        <f>AVERAGE(SMALL(B7:M7,{1,2,3}))</f>
        <v>71.233333333333334</v>
      </c>
      <c r="U7" s="6">
        <f t="shared" si="0"/>
        <v>18.178146220118307</v>
      </c>
      <c r="V7" s="6">
        <f>_xlfn.STDEV.S(Intermediate!B6:LO6)</f>
        <v>8.5580572730001023</v>
      </c>
      <c r="W7" s="6">
        <f>AVERAGE(Intermediate!B6:LP6)</f>
        <v>11.227777777777776</v>
      </c>
      <c r="X7" s="6">
        <f>MEDIAN(Intermediate!B6:LQ6)</f>
        <v>10.050000000000001</v>
      </c>
      <c r="Y7" s="6">
        <f t="shared" si="1"/>
        <v>115.6</v>
      </c>
      <c r="Z7" s="6">
        <f t="shared" si="2"/>
        <v>69.2</v>
      </c>
      <c r="AA7" s="6">
        <f>MAX(Intermediate!B6:LO6)</f>
        <v>38.5</v>
      </c>
      <c r="AB7" s="6">
        <f>MIN(Intermediate!B6:LP6)</f>
        <v>-4.7</v>
      </c>
      <c r="AC7" s="6">
        <f t="shared" si="8"/>
        <v>174.71281234394064</v>
      </c>
      <c r="AD7" s="6">
        <f t="shared" si="9"/>
        <v>6</v>
      </c>
      <c r="AE7" s="6">
        <f t="shared" si="10"/>
        <v>0.420042306862907</v>
      </c>
      <c r="AF7" s="6">
        <f t="shared" si="11"/>
        <v>0.66277272613227012</v>
      </c>
      <c r="AH7" s="7" t="s">
        <v>15</v>
      </c>
      <c r="AI7" s="14">
        <v>174.71281234394064</v>
      </c>
      <c r="AJ7" s="15">
        <v>66.277272613227012</v>
      </c>
    </row>
    <row r="8" spans="1:36" s="6" customFormat="1" ht="15" thickBot="1" x14ac:dyDescent="0.35">
      <c r="A8" s="7" t="s">
        <v>17</v>
      </c>
      <c r="B8" s="6">
        <v>107</v>
      </c>
      <c r="C8" s="6">
        <v>71.2</v>
      </c>
      <c r="D8" s="6">
        <v>100.4</v>
      </c>
      <c r="E8" s="6">
        <v>99.2</v>
      </c>
      <c r="F8" s="6">
        <v>94</v>
      </c>
      <c r="G8" s="6">
        <v>71.400000000000006</v>
      </c>
      <c r="H8" s="6">
        <v>93.2</v>
      </c>
      <c r="I8" s="6">
        <v>95.2</v>
      </c>
      <c r="J8" s="6">
        <v>90.3</v>
      </c>
      <c r="N8" s="6">
        <f t="shared" si="3"/>
        <v>821.90000000000009</v>
      </c>
      <c r="O8" s="6">
        <f t="shared" si="4"/>
        <v>91.322222222222237</v>
      </c>
      <c r="P8" s="6">
        <f t="shared" si="5"/>
        <v>94</v>
      </c>
      <c r="Q8" s="6">
        <f t="shared" si="6"/>
        <v>9</v>
      </c>
      <c r="R8" s="4">
        <f t="shared" si="7"/>
        <v>93.2</v>
      </c>
      <c r="S8" s="8">
        <f>AVERAGE(LARGE(B8:M8,{1,2,3}))</f>
        <v>102.2</v>
      </c>
      <c r="T8" s="8">
        <f>AVERAGE(SMALL(B8:M8,{1,2,3}))</f>
        <v>77.63333333333334</v>
      </c>
      <c r="U8" s="6">
        <f t="shared" si="0"/>
        <v>12.343194256125248</v>
      </c>
      <c r="V8" s="6">
        <f>_xlfn.STDEV.S(Intermediate!B7:LO7)</f>
        <v>8.2806398592665111</v>
      </c>
      <c r="W8" s="6">
        <f>AVERAGE(Intermediate!B7:LP7)</f>
        <v>11.412499999999994</v>
      </c>
      <c r="X8" s="6">
        <f>MEDIAN(Intermediate!B7:LQ7)</f>
        <v>12</v>
      </c>
      <c r="Y8" s="6">
        <f t="shared" si="1"/>
        <v>107</v>
      </c>
      <c r="Z8" s="6">
        <f t="shared" si="2"/>
        <v>71.2</v>
      </c>
      <c r="AA8" s="6">
        <f>MAX(Intermediate!B7:LO7)</f>
        <v>40.4</v>
      </c>
      <c r="AB8" s="6">
        <f>MIN(Intermediate!B7:LP7)</f>
        <v>-5.2</v>
      </c>
      <c r="AC8" s="6">
        <f t="shared" si="8"/>
        <v>202.63312315340437</v>
      </c>
      <c r="AD8" s="6">
        <f t="shared" si="9"/>
        <v>2</v>
      </c>
      <c r="AE8" s="6">
        <f t="shared" si="10"/>
        <v>1.2336731814848518</v>
      </c>
      <c r="AF8" s="6">
        <f t="shared" si="11"/>
        <v>0.89133764441040464</v>
      </c>
      <c r="AH8" s="7" t="s">
        <v>9</v>
      </c>
      <c r="AI8" s="14">
        <v>169.69798374871954</v>
      </c>
      <c r="AJ8" s="15">
        <v>60.792090544660446</v>
      </c>
    </row>
    <row r="9" spans="1:36" s="6" customFormat="1" ht="15" thickBot="1" x14ac:dyDescent="0.35">
      <c r="A9" s="7" t="s">
        <v>6</v>
      </c>
      <c r="B9" s="6">
        <v>56.8</v>
      </c>
      <c r="C9" s="6">
        <v>126.3</v>
      </c>
      <c r="D9" s="6">
        <v>67.599999999999994</v>
      </c>
      <c r="E9" s="6">
        <v>93.1</v>
      </c>
      <c r="F9" s="6">
        <v>96.6</v>
      </c>
      <c r="G9" s="6">
        <v>129.4</v>
      </c>
      <c r="H9" s="6">
        <v>82.1</v>
      </c>
      <c r="I9" s="6">
        <v>91.8</v>
      </c>
      <c r="J9" s="6">
        <v>53.3</v>
      </c>
      <c r="N9" s="6">
        <f t="shared" si="3"/>
        <v>796.99999999999989</v>
      </c>
      <c r="O9" s="6">
        <f t="shared" si="4"/>
        <v>88.555555555555543</v>
      </c>
      <c r="P9" s="6">
        <f t="shared" si="5"/>
        <v>91.8</v>
      </c>
      <c r="Q9" s="6">
        <f t="shared" si="6"/>
        <v>9</v>
      </c>
      <c r="R9" s="4">
        <f t="shared" si="7"/>
        <v>91.8</v>
      </c>
      <c r="S9" s="8">
        <f>AVERAGE(LARGE(B9:M9,{1,2,3}))</f>
        <v>117.43333333333332</v>
      </c>
      <c r="T9" s="8">
        <f>AVERAGE(SMALL(B9:M9,{1,2,3}))</f>
        <v>59.233333333333327</v>
      </c>
      <c r="U9" s="6">
        <f t="shared" si="0"/>
        <v>27.20519762431033</v>
      </c>
      <c r="V9" s="6">
        <f>_xlfn.STDEV.S(Intermediate!B8:LO8)</f>
        <v>8.8190517022210244</v>
      </c>
      <c r="W9" s="6">
        <f>AVERAGE(Intermediate!B8:LP8)</f>
        <v>11.069444444444445</v>
      </c>
      <c r="X9" s="6">
        <f>MEDIAN(Intermediate!B8:LQ8)</f>
        <v>10.050000000000001</v>
      </c>
      <c r="Y9" s="6">
        <f t="shared" si="1"/>
        <v>129.4</v>
      </c>
      <c r="Z9" s="6">
        <f t="shared" si="2"/>
        <v>53.3</v>
      </c>
      <c r="AA9" s="6">
        <f>MAX(Intermediate!B8:LO8)</f>
        <v>32.6</v>
      </c>
      <c r="AB9" s="6">
        <f>MIN(Intermediate!B8:LP8)</f>
        <v>-5.3</v>
      </c>
      <c r="AC9" s="6">
        <f t="shared" si="8"/>
        <v>169.56329778340279</v>
      </c>
      <c r="AD9" s="6">
        <f t="shared" si="9"/>
        <v>8</v>
      </c>
      <c r="AE9" s="6">
        <f t="shared" si="10"/>
        <v>0.26997936292359032</v>
      </c>
      <c r="AF9" s="6">
        <f t="shared" si="11"/>
        <v>0.60641193486319067</v>
      </c>
      <c r="AH9" s="7" t="s">
        <v>6</v>
      </c>
      <c r="AI9" s="14">
        <v>169.56329778340279</v>
      </c>
      <c r="AJ9" s="15">
        <v>60.641193486319068</v>
      </c>
    </row>
    <row r="10" spans="1:36" s="6" customFormat="1" ht="15" thickBot="1" x14ac:dyDescent="0.35">
      <c r="A10" s="7" t="s">
        <v>8</v>
      </c>
      <c r="B10" s="6">
        <v>149.19999999999999</v>
      </c>
      <c r="C10" s="6">
        <v>83.9</v>
      </c>
      <c r="D10" s="6">
        <v>94.2</v>
      </c>
      <c r="E10" s="6">
        <v>96.9</v>
      </c>
      <c r="F10" s="6">
        <v>118.7</v>
      </c>
      <c r="G10" s="6">
        <v>105.1</v>
      </c>
      <c r="H10" s="6">
        <v>106.1</v>
      </c>
      <c r="I10" s="6">
        <v>65.2</v>
      </c>
      <c r="J10" s="6">
        <v>77.2</v>
      </c>
      <c r="N10" s="6">
        <f t="shared" si="3"/>
        <v>896.50000000000023</v>
      </c>
      <c r="O10" s="6">
        <f t="shared" si="4"/>
        <v>99.611111111111143</v>
      </c>
      <c r="P10" s="6">
        <f t="shared" si="5"/>
        <v>96.9</v>
      </c>
      <c r="Q10" s="6">
        <f t="shared" si="6"/>
        <v>9</v>
      </c>
      <c r="R10" s="4">
        <f t="shared" si="7"/>
        <v>105.1</v>
      </c>
      <c r="S10" s="8">
        <f>AVERAGE(LARGE(B10:M10,{1,2,3}))</f>
        <v>124.66666666666667</v>
      </c>
      <c r="T10" s="8">
        <f>AVERAGE(SMALL(B10:M10,{1,2,3}))</f>
        <v>75.433333333333337</v>
      </c>
      <c r="U10" s="6">
        <f t="shared" si="0"/>
        <v>24.6615309969009</v>
      </c>
      <c r="V10" s="6">
        <f>_xlfn.STDEV.S(Intermediate!B9:LO9)</f>
        <v>8.33416474725745</v>
      </c>
      <c r="W10" s="6">
        <f>AVERAGE(Intermediate!B9:LP9)</f>
        <v>12.452777777777778</v>
      </c>
      <c r="X10" s="6">
        <f>MEDIAN(Intermediate!B9:LQ9)</f>
        <v>11.9</v>
      </c>
      <c r="Y10" s="6">
        <f t="shared" si="1"/>
        <v>149.19999999999999</v>
      </c>
      <c r="Z10" s="6">
        <f t="shared" si="2"/>
        <v>65.2</v>
      </c>
      <c r="AA10" s="6">
        <f>MAX(Intermediate!B9:LO9)</f>
        <v>43.1</v>
      </c>
      <c r="AB10" s="6">
        <f>MIN(Intermediate!B9:LP9)</f>
        <v>-0.7</v>
      </c>
      <c r="AC10" s="6">
        <f t="shared" si="8"/>
        <v>204.12890500703466</v>
      </c>
      <c r="AD10" s="6">
        <f t="shared" si="9"/>
        <v>1</v>
      </c>
      <c r="AE10" s="6">
        <f t="shared" si="10"/>
        <v>1.2772620335616824</v>
      </c>
      <c r="AF10" s="6">
        <f t="shared" si="11"/>
        <v>0.89924512363053988</v>
      </c>
      <c r="AH10" s="7" t="s">
        <v>7</v>
      </c>
      <c r="AI10" s="14">
        <v>154.47366262899433</v>
      </c>
      <c r="AJ10" s="15">
        <v>43.260319821907927</v>
      </c>
    </row>
    <row r="11" spans="1:36" s="6" customFormat="1" ht="15" thickBot="1" x14ac:dyDescent="0.35">
      <c r="A11" s="7" t="s">
        <v>10</v>
      </c>
      <c r="B11" s="6">
        <v>73.900000000000006</v>
      </c>
      <c r="C11" s="6">
        <v>80.8</v>
      </c>
      <c r="D11" s="6">
        <v>93.7</v>
      </c>
      <c r="E11" s="6">
        <v>79.7</v>
      </c>
      <c r="F11" s="6">
        <v>78.599999999999994</v>
      </c>
      <c r="G11" s="6">
        <v>89.2</v>
      </c>
      <c r="H11" s="6">
        <v>72.3</v>
      </c>
      <c r="I11" s="6">
        <v>70.3</v>
      </c>
      <c r="J11" s="6">
        <v>80.2</v>
      </c>
      <c r="N11" s="6">
        <f t="shared" si="3"/>
        <v>718.69999999999993</v>
      </c>
      <c r="O11" s="6">
        <f t="shared" si="4"/>
        <v>79.855555555555554</v>
      </c>
      <c r="P11" s="6">
        <f t="shared" si="5"/>
        <v>79.7</v>
      </c>
      <c r="Q11" s="6">
        <f t="shared" si="6"/>
        <v>9</v>
      </c>
      <c r="R11" s="4">
        <f t="shared" si="7"/>
        <v>78.599999999999994</v>
      </c>
      <c r="S11" s="8">
        <f>AVERAGE(LARGE(B11:M11,{1,2,3}))</f>
        <v>87.899999999999991</v>
      </c>
      <c r="T11" s="8">
        <f>AVERAGE(SMALL(B11:M11,{1,2,3}))</f>
        <v>72.166666666666671</v>
      </c>
      <c r="U11" s="6">
        <f t="shared" si="0"/>
        <v>7.6277636157511983</v>
      </c>
      <c r="V11" s="6">
        <f>_xlfn.STDEV.S(Intermediate!B10:LO10)</f>
        <v>6.6901365044051406</v>
      </c>
      <c r="W11" s="6">
        <f>AVERAGE(Intermediate!B10:LP10)</f>
        <v>9.9805555555555596</v>
      </c>
      <c r="X11" s="6">
        <f>MEDIAN(Intermediate!B10:LQ10)</f>
        <v>8.8000000000000007</v>
      </c>
      <c r="Y11" s="6">
        <f t="shared" si="1"/>
        <v>93.7</v>
      </c>
      <c r="Z11" s="6">
        <f t="shared" si="2"/>
        <v>70.3</v>
      </c>
      <c r="AA11" s="6">
        <f>MAX(Intermediate!B10:LO10)</f>
        <v>26.4</v>
      </c>
      <c r="AB11" s="6">
        <f>MIN(Intermediate!B10:LP10)</f>
        <v>-1.7</v>
      </c>
      <c r="AC11" s="6">
        <f t="shared" si="8"/>
        <v>145.77384518331411</v>
      </c>
      <c r="AD11" s="6">
        <f t="shared" si="9"/>
        <v>11</v>
      </c>
      <c r="AE11" s="6">
        <f t="shared" si="10"/>
        <v>-0.42327341846116046</v>
      </c>
      <c r="AF11" s="6">
        <f t="shared" si="11"/>
        <v>0.33604789294546489</v>
      </c>
      <c r="AH11" s="7" t="s">
        <v>5</v>
      </c>
      <c r="AI11" s="14">
        <v>147.61417847617571</v>
      </c>
      <c r="AJ11" s="15">
        <v>35.582390721908624</v>
      </c>
    </row>
    <row r="12" spans="1:36" s="6" customFormat="1" ht="15" thickBot="1" x14ac:dyDescent="0.35">
      <c r="A12" s="7" t="s">
        <v>12</v>
      </c>
      <c r="B12" s="6">
        <v>78.3</v>
      </c>
      <c r="C12" s="6">
        <v>89</v>
      </c>
      <c r="D12" s="6">
        <v>81.5</v>
      </c>
      <c r="E12" s="6">
        <v>85.3</v>
      </c>
      <c r="F12" s="6">
        <v>52.3</v>
      </c>
      <c r="G12" s="6">
        <v>97.8</v>
      </c>
      <c r="H12" s="6">
        <v>88.8</v>
      </c>
      <c r="I12" s="6">
        <v>93.2</v>
      </c>
      <c r="J12" s="6">
        <v>105.7</v>
      </c>
      <c r="N12" s="6">
        <f t="shared" si="3"/>
        <v>771.90000000000009</v>
      </c>
      <c r="O12" s="6">
        <f t="shared" si="4"/>
        <v>85.76666666666668</v>
      </c>
      <c r="P12" s="6">
        <f t="shared" si="5"/>
        <v>88.8</v>
      </c>
      <c r="Q12" s="6">
        <f t="shared" si="6"/>
        <v>9</v>
      </c>
      <c r="R12" s="4">
        <f t="shared" si="7"/>
        <v>93.2</v>
      </c>
      <c r="S12" s="8">
        <f>AVERAGE(LARGE(B12:M12,{1,2,3}))</f>
        <v>98.899999999999991</v>
      </c>
      <c r="T12" s="8">
        <f>AVERAGE(SMALL(B12:M12,{1,2,3}))</f>
        <v>70.7</v>
      </c>
      <c r="U12" s="6">
        <f t="shared" si="0"/>
        <v>15.046760448681265</v>
      </c>
      <c r="V12" s="6">
        <f>_xlfn.STDEV.S(Intermediate!B11:LO11)</f>
        <v>6.481363073663192</v>
      </c>
      <c r="W12" s="6">
        <f>AVERAGE(Intermediate!B11:LP11)</f>
        <v>10.719444444444445</v>
      </c>
      <c r="X12" s="6">
        <f>MEDIAN(Intermediate!B11:LQ11)</f>
        <v>9.85</v>
      </c>
      <c r="Y12" s="6">
        <f t="shared" si="1"/>
        <v>105.7</v>
      </c>
      <c r="Z12" s="6">
        <f t="shared" si="2"/>
        <v>52.3</v>
      </c>
      <c r="AA12" s="6">
        <f>MAX(Intermediate!B11:LO11)</f>
        <v>27.5</v>
      </c>
      <c r="AB12" s="6">
        <f>MIN(Intermediate!B11:LP11)</f>
        <v>1</v>
      </c>
      <c r="AC12" s="6">
        <f t="shared" si="8"/>
        <v>180.32989362833297</v>
      </c>
      <c r="AD12" s="6">
        <f t="shared" si="9"/>
        <v>5</v>
      </c>
      <c r="AE12" s="6">
        <f t="shared" si="10"/>
        <v>0.58373069806425371</v>
      </c>
      <c r="AF12" s="6">
        <f t="shared" si="11"/>
        <v>0.72029924479000307</v>
      </c>
      <c r="AH12" s="7" t="s">
        <v>10</v>
      </c>
      <c r="AI12" s="14">
        <v>145.77384518331411</v>
      </c>
      <c r="AJ12" s="15">
        <v>33.604789294546492</v>
      </c>
    </row>
    <row r="13" spans="1:36" s="6" customFormat="1" ht="15" thickBot="1" x14ac:dyDescent="0.35">
      <c r="A13" s="7" t="s">
        <v>14</v>
      </c>
      <c r="B13" s="6">
        <v>55.9</v>
      </c>
      <c r="C13" s="6">
        <v>69.3</v>
      </c>
      <c r="D13" s="6">
        <v>81.099999999999994</v>
      </c>
      <c r="E13" s="6">
        <v>68.599999999999994</v>
      </c>
      <c r="F13" s="6">
        <v>87.7</v>
      </c>
      <c r="G13" s="6">
        <v>53.6</v>
      </c>
      <c r="H13" s="6">
        <v>41.9</v>
      </c>
      <c r="I13" s="6">
        <v>64</v>
      </c>
      <c r="J13" s="6">
        <v>63.2</v>
      </c>
      <c r="N13" s="6">
        <f t="shared" si="3"/>
        <v>585.29999999999995</v>
      </c>
      <c r="O13" s="6">
        <f t="shared" si="4"/>
        <v>65.033333333333331</v>
      </c>
      <c r="P13" s="6">
        <f t="shared" si="5"/>
        <v>64</v>
      </c>
      <c r="Q13" s="6">
        <f t="shared" si="6"/>
        <v>9</v>
      </c>
      <c r="R13" s="4">
        <f t="shared" si="7"/>
        <v>63.2</v>
      </c>
      <c r="S13" s="8">
        <f>AVERAGE(LARGE(B13:M13,{1,2,3}))</f>
        <v>79.366666666666674</v>
      </c>
      <c r="T13" s="8">
        <f>AVERAGE(SMALL(B13:M13,{1,2,3}))</f>
        <v>50.466666666666669</v>
      </c>
      <c r="U13" s="6">
        <f t="shared" si="0"/>
        <v>13.948835076808408</v>
      </c>
      <c r="V13" s="6">
        <f>_xlfn.STDEV.S(Intermediate!B12:LO12)</f>
        <v>7.1443001784026183</v>
      </c>
      <c r="W13" s="6">
        <f>AVERAGE(Intermediate!B12:LP12)</f>
        <v>8.1305555555555511</v>
      </c>
      <c r="X13" s="6">
        <f>MEDIAN(Intermediate!B12:LQ12)</f>
        <v>6.4</v>
      </c>
      <c r="Y13" s="6">
        <f t="shared" si="1"/>
        <v>87.7</v>
      </c>
      <c r="Z13" s="6">
        <f t="shared" si="2"/>
        <v>41.9</v>
      </c>
      <c r="AA13" s="6">
        <f>MAX(Intermediate!B12:LO12)</f>
        <v>27.4</v>
      </c>
      <c r="AB13" s="6">
        <f>MIN(Intermediate!B12:LP12)</f>
        <v>-3.1</v>
      </c>
      <c r="AC13" s="6">
        <f t="shared" si="8"/>
        <v>100.10298210479057</v>
      </c>
      <c r="AD13" s="6">
        <f t="shared" si="9"/>
        <v>14</v>
      </c>
      <c r="AE13" s="6">
        <f t="shared" si="10"/>
        <v>-1.7541763774182968</v>
      </c>
      <c r="AF13" s="6">
        <f t="shared" si="11"/>
        <v>3.9700144810021418E-2</v>
      </c>
      <c r="AH13" s="7" t="s">
        <v>13</v>
      </c>
      <c r="AI13" s="14">
        <v>118.09299520703389</v>
      </c>
      <c r="AJ13" s="15">
        <v>10.936238577739562</v>
      </c>
    </row>
    <row r="14" spans="1:36" s="6" customFormat="1" ht="15" thickBot="1" x14ac:dyDescent="0.35">
      <c r="A14" s="7" t="s">
        <v>16</v>
      </c>
      <c r="B14" s="6">
        <v>99.9</v>
      </c>
      <c r="C14" s="6">
        <v>66.7</v>
      </c>
      <c r="D14" s="6">
        <v>90.7</v>
      </c>
      <c r="E14" s="6">
        <v>99.7</v>
      </c>
      <c r="F14" s="6">
        <v>87.5</v>
      </c>
      <c r="G14" s="6">
        <v>80.900000000000006</v>
      </c>
      <c r="H14" s="6">
        <v>114</v>
      </c>
      <c r="I14" s="6">
        <v>74.599999999999994</v>
      </c>
      <c r="J14" s="6">
        <v>98.3</v>
      </c>
      <c r="N14" s="6">
        <f t="shared" si="3"/>
        <v>812.3</v>
      </c>
      <c r="O14" s="6">
        <f t="shared" si="4"/>
        <v>90.255555555555546</v>
      </c>
      <c r="P14" s="6">
        <f t="shared" si="5"/>
        <v>90.7</v>
      </c>
      <c r="Q14" s="6">
        <f t="shared" si="6"/>
        <v>9</v>
      </c>
      <c r="R14" s="4">
        <f t="shared" si="7"/>
        <v>87.5</v>
      </c>
      <c r="S14" s="8">
        <f>AVERAGE(LARGE(B14:M14,{1,2,3}))</f>
        <v>104.53333333333335</v>
      </c>
      <c r="T14" s="8">
        <f>AVERAGE(SMALL(B14:M14,{1,2,3}))</f>
        <v>74.066666666666677</v>
      </c>
      <c r="U14" s="6">
        <f t="shared" si="0"/>
        <v>14.603091377437144</v>
      </c>
      <c r="V14" s="6">
        <f>_xlfn.STDEV.S(Intermediate!B13:LO13)</f>
        <v>7.6823008583934795</v>
      </c>
      <c r="W14" s="6">
        <f>AVERAGE(Intermediate!B13:LP13)</f>
        <v>11.283333333333333</v>
      </c>
      <c r="X14" s="6">
        <f>MEDIAN(Intermediate!B13:LQ13)</f>
        <v>10.399999999999999</v>
      </c>
      <c r="Y14" s="6">
        <f t="shared" si="1"/>
        <v>114</v>
      </c>
      <c r="Z14" s="6">
        <f t="shared" si="2"/>
        <v>66.7</v>
      </c>
      <c r="AA14" s="6">
        <f>MAX(Intermediate!B13:LO13)</f>
        <v>30</v>
      </c>
      <c r="AB14" s="6">
        <f>MIN(Intermediate!B13:LP13)</f>
        <v>-1.1000000000000001</v>
      </c>
      <c r="AC14" s="6">
        <f t="shared" si="8"/>
        <v>181.64385259449446</v>
      </c>
      <c r="AD14" s="6">
        <f t="shared" si="9"/>
        <v>4</v>
      </c>
      <c r="AE14" s="6">
        <f t="shared" si="10"/>
        <v>0.62202101618252303</v>
      </c>
      <c r="AF14" s="6">
        <f t="shared" si="11"/>
        <v>0.73303597555259192</v>
      </c>
      <c r="AH14" s="7" t="s">
        <v>18</v>
      </c>
      <c r="AI14" s="14">
        <v>101.72633518196366</v>
      </c>
      <c r="AJ14" s="15">
        <v>4.3923113729017773</v>
      </c>
    </row>
    <row r="15" spans="1:36" s="2" customFormat="1" ht="15" thickBot="1" x14ac:dyDescent="0.35">
      <c r="A15" s="9" t="s">
        <v>18</v>
      </c>
      <c r="B15" s="2">
        <v>75.599999999999994</v>
      </c>
      <c r="C15" s="2">
        <v>46.5</v>
      </c>
      <c r="D15" s="2">
        <v>52</v>
      </c>
      <c r="E15" s="2">
        <v>56.1</v>
      </c>
      <c r="F15" s="2">
        <v>59.4</v>
      </c>
      <c r="G15" s="2">
        <v>63.9</v>
      </c>
      <c r="H15" s="2">
        <v>61</v>
      </c>
      <c r="I15" s="2">
        <v>79</v>
      </c>
      <c r="J15" s="2">
        <v>62.4</v>
      </c>
      <c r="N15" s="2">
        <f t="shared" si="3"/>
        <v>555.9</v>
      </c>
      <c r="O15" s="2">
        <f t="shared" si="4"/>
        <v>61.766666666666666</v>
      </c>
      <c r="P15" s="2">
        <f t="shared" si="5"/>
        <v>61</v>
      </c>
      <c r="Q15" s="2">
        <f t="shared" si="6"/>
        <v>9</v>
      </c>
      <c r="R15" s="4">
        <f t="shared" si="7"/>
        <v>62.4</v>
      </c>
      <c r="S15" s="10">
        <f>AVERAGE(LARGE(B15:M15,{1,2,3}))</f>
        <v>72.833333333333329</v>
      </c>
      <c r="T15" s="10">
        <f>AVERAGE(SMALL(B15:M15,{1,2,3}))</f>
        <v>51.533333333333331</v>
      </c>
      <c r="U15" s="2">
        <f t="shared" si="0"/>
        <v>10.368582352472329</v>
      </c>
      <c r="V15" s="2">
        <f>_xlfn.STDEV.S(Intermediate!B14:LO14)</f>
        <v>6.6556868209000832</v>
      </c>
      <c r="W15" s="2">
        <f>AVERAGE(Intermediate!B14:LP14)</f>
        <v>7.723611111111107</v>
      </c>
      <c r="X15" s="2">
        <f>MEDIAN(Intermediate!B14:LQ14)</f>
        <v>6</v>
      </c>
      <c r="Y15" s="2">
        <f t="shared" si="1"/>
        <v>79</v>
      </c>
      <c r="Z15" s="2">
        <f t="shared" si="2"/>
        <v>46.5</v>
      </c>
      <c r="AA15" s="2">
        <f>MAX(Intermediate!B14:LO14)</f>
        <v>30.2</v>
      </c>
      <c r="AB15" s="2">
        <f>MIN(Intermediate!B14:LP14)</f>
        <v>-1.9</v>
      </c>
      <c r="AC15" s="6">
        <f t="shared" si="8"/>
        <v>101.72633518196366</v>
      </c>
      <c r="AD15" s="2">
        <f t="shared" si="9"/>
        <v>13</v>
      </c>
      <c r="AE15" s="2">
        <f t="shared" si="10"/>
        <v>-1.7068699490259283</v>
      </c>
      <c r="AF15" s="2">
        <f t="shared" si="11"/>
        <v>4.3923113729017776E-2</v>
      </c>
      <c r="AH15" s="9" t="s">
        <v>14</v>
      </c>
      <c r="AI15" s="14">
        <v>100.10298210479057</v>
      </c>
      <c r="AJ15" s="15">
        <v>3.9700144810021416</v>
      </c>
    </row>
    <row r="16" spans="1:36" s="6" customFormat="1" x14ac:dyDescent="0.3">
      <c r="A16" s="11" t="s">
        <v>261</v>
      </c>
      <c r="B16" s="6">
        <f>MEDIAN(B2:B15)</f>
        <v>74.75</v>
      </c>
      <c r="C16" s="6">
        <f t="shared" ref="C16:M16" si="12">MEDIAN(C2:C15)</f>
        <v>79.25</v>
      </c>
      <c r="D16" s="6">
        <f t="shared" si="12"/>
        <v>92.2</v>
      </c>
      <c r="E16" s="6">
        <f t="shared" si="12"/>
        <v>87.75</v>
      </c>
      <c r="F16" s="6">
        <f t="shared" si="12"/>
        <v>83.9</v>
      </c>
      <c r="G16" s="6">
        <f t="shared" si="12"/>
        <v>83.7</v>
      </c>
      <c r="H16" s="6">
        <f t="shared" si="12"/>
        <v>85.05</v>
      </c>
      <c r="I16" s="6">
        <f t="shared" si="12"/>
        <v>78.45</v>
      </c>
      <c r="J16" s="6">
        <f t="shared" si="12"/>
        <v>80.900000000000006</v>
      </c>
      <c r="K16" s="6" t="e">
        <f t="shared" si="12"/>
        <v>#NUM!</v>
      </c>
      <c r="L16" s="6" t="e">
        <f t="shared" si="12"/>
        <v>#NUM!</v>
      </c>
      <c r="M16" s="6" t="e">
        <f t="shared" si="12"/>
        <v>#NUM!</v>
      </c>
    </row>
    <row r="17" spans="1:14" s="2" customFormat="1" ht="15" thickBot="1" x14ac:dyDescent="0.35">
      <c r="A17" s="12" t="s">
        <v>260</v>
      </c>
      <c r="B17" s="2">
        <f>AVERAGE(B2:B15)</f>
        <v>80.771428571428558</v>
      </c>
      <c r="C17" s="2">
        <f t="shared" ref="C17:M17" si="13">AVERAGE(C2:C15)</f>
        <v>85.885714285714272</v>
      </c>
      <c r="D17" s="2">
        <f t="shared" si="13"/>
        <v>88.44285714285715</v>
      </c>
      <c r="E17" s="2">
        <f t="shared" si="13"/>
        <v>86.007142857142853</v>
      </c>
      <c r="F17" s="2">
        <f t="shared" si="13"/>
        <v>81.692857142857164</v>
      </c>
      <c r="G17" s="2">
        <f t="shared" si="13"/>
        <v>80.728571428571428</v>
      </c>
      <c r="H17" s="2">
        <f t="shared" si="13"/>
        <v>84.571428571428569</v>
      </c>
      <c r="I17" s="2">
        <f t="shared" si="13"/>
        <v>83.371428571428581</v>
      </c>
      <c r="J17" s="2">
        <f t="shared" si="13"/>
        <v>83.342857142857156</v>
      </c>
      <c r="K17" s="2" t="e">
        <f t="shared" si="13"/>
        <v>#DIV/0!</v>
      </c>
      <c r="L17" s="2" t="e">
        <f t="shared" si="13"/>
        <v>#DIV/0!</v>
      </c>
      <c r="M17" s="2" t="e">
        <f t="shared" si="13"/>
        <v>#DIV/0!</v>
      </c>
    </row>
    <row r="18" spans="1:14" ht="15" thickBot="1" x14ac:dyDescent="0.35">
      <c r="A18" s="1" t="s">
        <v>262</v>
      </c>
      <c r="B18" s="1" t="s">
        <v>20</v>
      </c>
      <c r="C18" s="1" t="s">
        <v>21</v>
      </c>
      <c r="D18" s="1" t="s">
        <v>22</v>
      </c>
      <c r="E18" s="1" t="s">
        <v>23</v>
      </c>
      <c r="F18" s="1" t="s">
        <v>24</v>
      </c>
      <c r="G18" s="1" t="s">
        <v>25</v>
      </c>
      <c r="H18" s="1" t="s">
        <v>26</v>
      </c>
      <c r="I18" s="1" t="s">
        <v>27</v>
      </c>
      <c r="J18" s="1" t="s">
        <v>28</v>
      </c>
      <c r="K18" s="1" t="s">
        <v>29</v>
      </c>
      <c r="L18" s="1" t="s">
        <v>30</v>
      </c>
      <c r="M18" s="1" t="s">
        <v>31</v>
      </c>
      <c r="N18" s="1" t="s">
        <v>32</v>
      </c>
    </row>
    <row r="19" spans="1:14" x14ac:dyDescent="0.3">
      <c r="A19" s="3" t="s">
        <v>5</v>
      </c>
      <c r="B19" s="13">
        <f>IF(B2&gt;B$16,1,0)</f>
        <v>0</v>
      </c>
      <c r="C19" s="13">
        <f>IF(C2&gt;C$16,1,0)</f>
        <v>1</v>
      </c>
      <c r="D19" s="13">
        <f t="shared" ref="D19:F19" si="14">IF(D2&gt;D$16,1,0)</f>
        <v>1</v>
      </c>
      <c r="E19" s="13">
        <f t="shared" si="14"/>
        <v>1</v>
      </c>
      <c r="F19" s="13">
        <f t="shared" si="14"/>
        <v>1</v>
      </c>
      <c r="G19" s="13">
        <f>IFERROR((IF(G2&gt;G$16,1,0)),"")</f>
        <v>0</v>
      </c>
      <c r="H19" s="13">
        <f t="shared" ref="H19:M19" si="15">IFERROR((IF(H2&gt;H$16,1,0)),"")</f>
        <v>0</v>
      </c>
      <c r="I19" s="13">
        <f t="shared" si="15"/>
        <v>0</v>
      </c>
      <c r="J19" s="13">
        <f t="shared" si="15"/>
        <v>1</v>
      </c>
      <c r="K19" s="13" t="str">
        <f t="shared" si="15"/>
        <v/>
      </c>
      <c r="L19" s="13" t="str">
        <f t="shared" si="15"/>
        <v/>
      </c>
      <c r="M19" s="13" t="str">
        <f t="shared" si="15"/>
        <v/>
      </c>
      <c r="N19" s="13">
        <f>SUM(B19:M19)</f>
        <v>5</v>
      </c>
    </row>
    <row r="20" spans="1:14" x14ac:dyDescent="0.3">
      <c r="A20" s="7" t="s">
        <v>7</v>
      </c>
      <c r="B20" s="13">
        <f>IF(B3&gt;B$16,1,0)</f>
        <v>1</v>
      </c>
      <c r="C20" s="13">
        <f>IF(C3&gt;C$16,1,0)</f>
        <v>0</v>
      </c>
      <c r="D20" s="13">
        <f t="shared" ref="D20:F32" si="16">IF(D3&gt;D$16,1,0)</f>
        <v>0</v>
      </c>
      <c r="E20" s="13">
        <f t="shared" si="16"/>
        <v>0</v>
      </c>
      <c r="F20" s="13">
        <f t="shared" si="16"/>
        <v>0</v>
      </c>
      <c r="G20" s="13">
        <f t="shared" ref="G20:M20" si="17">IFERROR((IF(G3&gt;G$16,1,0)),"")</f>
        <v>1</v>
      </c>
      <c r="H20" s="13">
        <f t="shared" si="17"/>
        <v>1</v>
      </c>
      <c r="I20" s="13">
        <f t="shared" si="17"/>
        <v>0</v>
      </c>
      <c r="J20" s="13">
        <f t="shared" si="17"/>
        <v>1</v>
      </c>
      <c r="K20" s="13" t="str">
        <f t="shared" si="17"/>
        <v/>
      </c>
      <c r="L20" s="13" t="str">
        <f t="shared" si="17"/>
        <v/>
      </c>
      <c r="M20" s="13" t="str">
        <f t="shared" si="17"/>
        <v/>
      </c>
      <c r="N20" s="13">
        <f t="shared" ref="N20:N32" si="18">SUM(B20:M20)</f>
        <v>4</v>
      </c>
    </row>
    <row r="21" spans="1:14" x14ac:dyDescent="0.3">
      <c r="A21" s="7" t="s">
        <v>9</v>
      </c>
      <c r="B21" s="13">
        <f t="shared" ref="B21:B32" si="19">IF(B4&gt;B$16,1,0)</f>
        <v>0</v>
      </c>
      <c r="C21" s="13">
        <f t="shared" ref="C21:C32" si="20">IF(C4&gt;C$16,1,0)</f>
        <v>1</v>
      </c>
      <c r="D21" s="13">
        <f t="shared" si="16"/>
        <v>0</v>
      </c>
      <c r="E21" s="13">
        <f t="shared" si="16"/>
        <v>0</v>
      </c>
      <c r="F21" s="13">
        <f t="shared" si="16"/>
        <v>1</v>
      </c>
      <c r="G21" s="13">
        <f t="shared" ref="G21:M21" si="21">IFERROR((IF(G4&gt;G$16,1,0)),"")</f>
        <v>1</v>
      </c>
      <c r="H21" s="13">
        <f t="shared" si="21"/>
        <v>0</v>
      </c>
      <c r="I21" s="13">
        <f t="shared" si="21"/>
        <v>1</v>
      </c>
      <c r="J21" s="13">
        <f t="shared" si="21"/>
        <v>0</v>
      </c>
      <c r="K21" s="13" t="str">
        <f t="shared" si="21"/>
        <v/>
      </c>
      <c r="L21" s="13" t="str">
        <f t="shared" si="21"/>
        <v/>
      </c>
      <c r="M21" s="13" t="str">
        <f t="shared" si="21"/>
        <v/>
      </c>
      <c r="N21" s="13">
        <f t="shared" si="18"/>
        <v>4</v>
      </c>
    </row>
    <row r="22" spans="1:14" x14ac:dyDescent="0.3">
      <c r="A22" s="7" t="s">
        <v>11</v>
      </c>
      <c r="B22" s="13">
        <f t="shared" si="19"/>
        <v>1</v>
      </c>
      <c r="C22" s="13">
        <f t="shared" si="20"/>
        <v>1</v>
      </c>
      <c r="D22" s="13">
        <f t="shared" si="16"/>
        <v>1</v>
      </c>
      <c r="E22" s="13">
        <f t="shared" si="16"/>
        <v>1</v>
      </c>
      <c r="F22" s="13">
        <f t="shared" si="16"/>
        <v>0</v>
      </c>
      <c r="G22" s="13">
        <f t="shared" ref="G22:M22" si="22">IFERROR((IF(G5&gt;G$16,1,0)),"")</f>
        <v>0</v>
      </c>
      <c r="H22" s="13">
        <f t="shared" si="22"/>
        <v>1</v>
      </c>
      <c r="I22" s="13">
        <f t="shared" si="22"/>
        <v>1</v>
      </c>
      <c r="J22" s="13">
        <f t="shared" si="22"/>
        <v>1</v>
      </c>
      <c r="K22" s="13" t="str">
        <f t="shared" si="22"/>
        <v/>
      </c>
      <c r="L22" s="13" t="str">
        <f t="shared" si="22"/>
        <v/>
      </c>
      <c r="M22" s="13" t="str">
        <f t="shared" si="22"/>
        <v/>
      </c>
      <c r="N22" s="13">
        <f t="shared" si="18"/>
        <v>7</v>
      </c>
    </row>
    <row r="23" spans="1:14" x14ac:dyDescent="0.3">
      <c r="A23" s="7" t="s">
        <v>13</v>
      </c>
      <c r="B23" s="13">
        <f t="shared" si="19"/>
        <v>0</v>
      </c>
      <c r="C23" s="13">
        <f t="shared" si="20"/>
        <v>0</v>
      </c>
      <c r="D23" s="13">
        <f t="shared" si="16"/>
        <v>1</v>
      </c>
      <c r="E23" s="13">
        <f t="shared" si="16"/>
        <v>0</v>
      </c>
      <c r="F23" s="13">
        <f t="shared" si="16"/>
        <v>0</v>
      </c>
      <c r="G23" s="13">
        <f t="shared" ref="G23:M23" si="23">IFERROR((IF(G6&gt;G$16,1,0)),"")</f>
        <v>0</v>
      </c>
      <c r="H23" s="13">
        <f t="shared" si="23"/>
        <v>0</v>
      </c>
      <c r="I23" s="13">
        <f t="shared" si="23"/>
        <v>1</v>
      </c>
      <c r="J23" s="13">
        <f t="shared" si="23"/>
        <v>0</v>
      </c>
      <c r="K23" s="13" t="str">
        <f t="shared" si="23"/>
        <v/>
      </c>
      <c r="L23" s="13" t="str">
        <f t="shared" si="23"/>
        <v/>
      </c>
      <c r="M23" s="13" t="str">
        <f t="shared" si="23"/>
        <v/>
      </c>
      <c r="N23" s="13">
        <f t="shared" si="18"/>
        <v>2</v>
      </c>
    </row>
    <row r="24" spans="1:14" x14ac:dyDescent="0.3">
      <c r="A24" s="7" t="s">
        <v>15</v>
      </c>
      <c r="B24" s="13">
        <f t="shared" si="19"/>
        <v>0</v>
      </c>
      <c r="C24" s="13">
        <f t="shared" si="20"/>
        <v>0</v>
      </c>
      <c r="D24" s="13">
        <f t="shared" si="16"/>
        <v>1</v>
      </c>
      <c r="E24" s="13">
        <f t="shared" si="16"/>
        <v>1</v>
      </c>
      <c r="F24" s="13">
        <f t="shared" si="16"/>
        <v>0</v>
      </c>
      <c r="G24" s="13">
        <f t="shared" ref="G24:M24" si="24">IFERROR((IF(G7&gt;G$16,1,0)),"")</f>
        <v>1</v>
      </c>
      <c r="H24" s="13">
        <f t="shared" si="24"/>
        <v>1</v>
      </c>
      <c r="I24" s="13">
        <f t="shared" si="24"/>
        <v>0</v>
      </c>
      <c r="J24" s="13">
        <f t="shared" si="24"/>
        <v>1</v>
      </c>
      <c r="K24" s="13" t="str">
        <f t="shared" si="24"/>
        <v/>
      </c>
      <c r="L24" s="13" t="str">
        <f t="shared" si="24"/>
        <v/>
      </c>
      <c r="M24" s="13" t="str">
        <f t="shared" si="24"/>
        <v/>
      </c>
      <c r="N24" s="13">
        <f t="shared" si="18"/>
        <v>5</v>
      </c>
    </row>
    <row r="25" spans="1:14" x14ac:dyDescent="0.3">
      <c r="A25" s="7" t="s">
        <v>17</v>
      </c>
      <c r="B25" s="13">
        <f t="shared" si="19"/>
        <v>1</v>
      </c>
      <c r="C25" s="13">
        <f t="shared" si="20"/>
        <v>0</v>
      </c>
      <c r="D25" s="13">
        <f t="shared" si="16"/>
        <v>1</v>
      </c>
      <c r="E25" s="13">
        <f t="shared" si="16"/>
        <v>1</v>
      </c>
      <c r="F25" s="13">
        <f t="shared" si="16"/>
        <v>1</v>
      </c>
      <c r="G25" s="13">
        <f t="shared" ref="G25:M25" si="25">IFERROR((IF(G8&gt;G$16,1,0)),"")</f>
        <v>0</v>
      </c>
      <c r="H25" s="13">
        <f t="shared" si="25"/>
        <v>1</v>
      </c>
      <c r="I25" s="13">
        <f t="shared" si="25"/>
        <v>1</v>
      </c>
      <c r="J25" s="13">
        <f t="shared" si="25"/>
        <v>1</v>
      </c>
      <c r="K25" s="13" t="str">
        <f t="shared" si="25"/>
        <v/>
      </c>
      <c r="L25" s="13" t="str">
        <f t="shared" si="25"/>
        <v/>
      </c>
      <c r="M25" s="13" t="str">
        <f t="shared" si="25"/>
        <v/>
      </c>
      <c r="N25" s="13">
        <f t="shared" si="18"/>
        <v>7</v>
      </c>
    </row>
    <row r="26" spans="1:14" x14ac:dyDescent="0.3">
      <c r="A26" s="7" t="s">
        <v>6</v>
      </c>
      <c r="B26" s="13">
        <f t="shared" si="19"/>
        <v>0</v>
      </c>
      <c r="C26" s="13">
        <f t="shared" si="20"/>
        <v>1</v>
      </c>
      <c r="D26" s="13">
        <f t="shared" si="16"/>
        <v>0</v>
      </c>
      <c r="E26" s="13">
        <f t="shared" si="16"/>
        <v>1</v>
      </c>
      <c r="F26" s="13">
        <f t="shared" si="16"/>
        <v>1</v>
      </c>
      <c r="G26" s="13">
        <f t="shared" ref="G26:M26" si="26">IFERROR((IF(G9&gt;G$16,1,0)),"")</f>
        <v>1</v>
      </c>
      <c r="H26" s="13">
        <f t="shared" si="26"/>
        <v>0</v>
      </c>
      <c r="I26" s="13">
        <f t="shared" si="26"/>
        <v>1</v>
      </c>
      <c r="J26" s="13">
        <f t="shared" si="26"/>
        <v>0</v>
      </c>
      <c r="K26" s="13" t="str">
        <f t="shared" si="26"/>
        <v/>
      </c>
      <c r="L26" s="13" t="str">
        <f t="shared" si="26"/>
        <v/>
      </c>
      <c r="M26" s="13" t="str">
        <f t="shared" si="26"/>
        <v/>
      </c>
      <c r="N26" s="13">
        <f t="shared" si="18"/>
        <v>5</v>
      </c>
    </row>
    <row r="27" spans="1:14" x14ac:dyDescent="0.3">
      <c r="A27" s="7" t="s">
        <v>8</v>
      </c>
      <c r="B27" s="13">
        <f t="shared" si="19"/>
        <v>1</v>
      </c>
      <c r="C27" s="13">
        <f t="shared" si="20"/>
        <v>1</v>
      </c>
      <c r="D27" s="13">
        <f t="shared" si="16"/>
        <v>1</v>
      </c>
      <c r="E27" s="13">
        <f t="shared" si="16"/>
        <v>1</v>
      </c>
      <c r="F27" s="13">
        <f t="shared" si="16"/>
        <v>1</v>
      </c>
      <c r="G27" s="13">
        <f t="shared" ref="G27:M27" si="27">IFERROR((IF(G10&gt;G$16,1,0)),"")</f>
        <v>1</v>
      </c>
      <c r="H27" s="13">
        <f t="shared" si="27"/>
        <v>1</v>
      </c>
      <c r="I27" s="13">
        <f t="shared" si="27"/>
        <v>0</v>
      </c>
      <c r="J27" s="13">
        <f t="shared" si="27"/>
        <v>0</v>
      </c>
      <c r="K27" s="13" t="str">
        <f t="shared" si="27"/>
        <v/>
      </c>
      <c r="L27" s="13" t="str">
        <f t="shared" si="27"/>
        <v/>
      </c>
      <c r="M27" s="13" t="str">
        <f t="shared" si="27"/>
        <v/>
      </c>
      <c r="N27" s="13">
        <f t="shared" si="18"/>
        <v>7</v>
      </c>
    </row>
    <row r="28" spans="1:14" x14ac:dyDescent="0.3">
      <c r="A28" s="7" t="s">
        <v>10</v>
      </c>
      <c r="B28" s="13">
        <f t="shared" si="19"/>
        <v>0</v>
      </c>
      <c r="C28" s="13">
        <f t="shared" si="20"/>
        <v>1</v>
      </c>
      <c r="D28" s="13">
        <f t="shared" si="16"/>
        <v>1</v>
      </c>
      <c r="E28" s="13">
        <f t="shared" si="16"/>
        <v>0</v>
      </c>
      <c r="F28" s="13">
        <f t="shared" si="16"/>
        <v>0</v>
      </c>
      <c r="G28" s="13">
        <f t="shared" ref="G28:M28" si="28">IFERROR((IF(G11&gt;G$16,1,0)),"")</f>
        <v>1</v>
      </c>
      <c r="H28" s="13">
        <f t="shared" si="28"/>
        <v>0</v>
      </c>
      <c r="I28" s="13">
        <f t="shared" si="28"/>
        <v>0</v>
      </c>
      <c r="J28" s="13">
        <f t="shared" si="28"/>
        <v>0</v>
      </c>
      <c r="K28" s="13" t="str">
        <f t="shared" si="28"/>
        <v/>
      </c>
      <c r="L28" s="13" t="str">
        <f t="shared" si="28"/>
        <v/>
      </c>
      <c r="M28" s="13" t="str">
        <f t="shared" si="28"/>
        <v/>
      </c>
      <c r="N28" s="13">
        <f t="shared" si="18"/>
        <v>3</v>
      </c>
    </row>
    <row r="29" spans="1:14" x14ac:dyDescent="0.3">
      <c r="A29" s="7" t="s">
        <v>12</v>
      </c>
      <c r="B29" s="13">
        <f t="shared" si="19"/>
        <v>1</v>
      </c>
      <c r="C29" s="13">
        <f t="shared" si="20"/>
        <v>1</v>
      </c>
      <c r="D29" s="13">
        <f t="shared" si="16"/>
        <v>0</v>
      </c>
      <c r="E29" s="13">
        <f t="shared" si="16"/>
        <v>0</v>
      </c>
      <c r="F29" s="13">
        <f t="shared" si="16"/>
        <v>0</v>
      </c>
      <c r="G29" s="13">
        <f t="shared" ref="G29:M29" si="29">IFERROR((IF(G12&gt;G$16,1,0)),"")</f>
        <v>1</v>
      </c>
      <c r="H29" s="13">
        <f t="shared" si="29"/>
        <v>1</v>
      </c>
      <c r="I29" s="13">
        <f t="shared" si="29"/>
        <v>1</v>
      </c>
      <c r="J29" s="13">
        <f t="shared" si="29"/>
        <v>1</v>
      </c>
      <c r="K29" s="13" t="str">
        <f t="shared" si="29"/>
        <v/>
      </c>
      <c r="L29" s="13" t="str">
        <f t="shared" si="29"/>
        <v/>
      </c>
      <c r="M29" s="13" t="str">
        <f t="shared" si="29"/>
        <v/>
      </c>
      <c r="N29" s="13">
        <f t="shared" si="18"/>
        <v>6</v>
      </c>
    </row>
    <row r="30" spans="1:14" x14ac:dyDescent="0.3">
      <c r="A30" s="7" t="s">
        <v>14</v>
      </c>
      <c r="B30" s="13">
        <f t="shared" si="19"/>
        <v>0</v>
      </c>
      <c r="C30" s="13">
        <f t="shared" si="20"/>
        <v>0</v>
      </c>
      <c r="D30" s="13">
        <f t="shared" si="16"/>
        <v>0</v>
      </c>
      <c r="E30" s="13">
        <f t="shared" si="16"/>
        <v>0</v>
      </c>
      <c r="F30" s="13">
        <f t="shared" si="16"/>
        <v>1</v>
      </c>
      <c r="G30" s="13">
        <f t="shared" ref="G30:M30" si="30">IFERROR((IF(G13&gt;G$16,1,0)),"")</f>
        <v>0</v>
      </c>
      <c r="H30" s="13">
        <f t="shared" si="30"/>
        <v>0</v>
      </c>
      <c r="I30" s="13">
        <f t="shared" si="30"/>
        <v>0</v>
      </c>
      <c r="J30" s="13">
        <f t="shared" si="30"/>
        <v>0</v>
      </c>
      <c r="K30" s="13" t="str">
        <f t="shared" si="30"/>
        <v/>
      </c>
      <c r="L30" s="13" t="str">
        <f t="shared" si="30"/>
        <v/>
      </c>
      <c r="M30" s="13" t="str">
        <f t="shared" si="30"/>
        <v/>
      </c>
      <c r="N30" s="13">
        <f t="shared" si="18"/>
        <v>1</v>
      </c>
    </row>
    <row r="31" spans="1:14" x14ac:dyDescent="0.3">
      <c r="A31" s="7" t="s">
        <v>16</v>
      </c>
      <c r="B31" s="13">
        <f t="shared" si="19"/>
        <v>1</v>
      </c>
      <c r="C31" s="13">
        <f t="shared" si="20"/>
        <v>0</v>
      </c>
      <c r="D31" s="13">
        <f t="shared" si="16"/>
        <v>0</v>
      </c>
      <c r="E31" s="13">
        <f t="shared" si="16"/>
        <v>1</v>
      </c>
      <c r="F31" s="13">
        <f t="shared" si="16"/>
        <v>1</v>
      </c>
      <c r="G31" s="13">
        <f t="shared" ref="G31:M31" si="31">IFERROR((IF(G14&gt;G$16,1,0)),"")</f>
        <v>0</v>
      </c>
      <c r="H31" s="13">
        <f t="shared" si="31"/>
        <v>1</v>
      </c>
      <c r="I31" s="13">
        <f t="shared" si="31"/>
        <v>0</v>
      </c>
      <c r="J31" s="13">
        <f t="shared" si="31"/>
        <v>1</v>
      </c>
      <c r="K31" s="13" t="str">
        <f t="shared" si="31"/>
        <v/>
      </c>
      <c r="L31" s="13" t="str">
        <f t="shared" si="31"/>
        <v/>
      </c>
      <c r="M31" s="13" t="str">
        <f t="shared" si="31"/>
        <v/>
      </c>
      <c r="N31" s="13">
        <f t="shared" si="18"/>
        <v>5</v>
      </c>
    </row>
    <row r="32" spans="1:14" ht="15" thickBot="1" x14ac:dyDescent="0.35">
      <c r="A32" s="9" t="s">
        <v>18</v>
      </c>
      <c r="B32" s="13">
        <f t="shared" si="19"/>
        <v>1</v>
      </c>
      <c r="C32" s="13">
        <f t="shared" si="20"/>
        <v>0</v>
      </c>
      <c r="D32" s="13">
        <f t="shared" si="16"/>
        <v>0</v>
      </c>
      <c r="E32" s="13">
        <f t="shared" si="16"/>
        <v>0</v>
      </c>
      <c r="F32" s="13">
        <f t="shared" si="16"/>
        <v>0</v>
      </c>
      <c r="G32" s="13">
        <f t="shared" ref="G32:M32" si="32">IFERROR((IF(G15&gt;G$16,1,0)),"")</f>
        <v>0</v>
      </c>
      <c r="H32" s="13">
        <f t="shared" si="32"/>
        <v>0</v>
      </c>
      <c r="I32" s="13">
        <f t="shared" si="32"/>
        <v>1</v>
      </c>
      <c r="J32" s="13">
        <f t="shared" si="32"/>
        <v>0</v>
      </c>
      <c r="K32" s="13" t="str">
        <f t="shared" si="32"/>
        <v/>
      </c>
      <c r="L32" s="13" t="str">
        <f t="shared" si="32"/>
        <v/>
      </c>
      <c r="M32" s="13" t="str">
        <f t="shared" si="32"/>
        <v/>
      </c>
      <c r="N32" s="13">
        <f t="shared" si="18"/>
        <v>2</v>
      </c>
    </row>
    <row r="33" spans="1:14" ht="15" thickBot="1" x14ac:dyDescent="0.35">
      <c r="A33" s="1" t="s">
        <v>263</v>
      </c>
      <c r="B33" s="1" t="s">
        <v>20</v>
      </c>
      <c r="C33" s="1" t="s">
        <v>21</v>
      </c>
      <c r="D33" s="1" t="s">
        <v>22</v>
      </c>
      <c r="E33" s="1" t="s">
        <v>23</v>
      </c>
      <c r="F33" s="1" t="s">
        <v>24</v>
      </c>
      <c r="G33" s="1" t="s">
        <v>25</v>
      </c>
      <c r="H33" s="1" t="s">
        <v>26</v>
      </c>
      <c r="I33" s="1" t="s">
        <v>27</v>
      </c>
      <c r="J33" s="1" t="s">
        <v>28</v>
      </c>
      <c r="K33" s="1" t="s">
        <v>29</v>
      </c>
      <c r="L33" s="1" t="s">
        <v>30</v>
      </c>
      <c r="M33" s="1" t="s">
        <v>31</v>
      </c>
      <c r="N33" s="1" t="s">
        <v>32</v>
      </c>
    </row>
    <row r="34" spans="1:14" x14ac:dyDescent="0.3">
      <c r="A34" s="3" t="s">
        <v>5</v>
      </c>
      <c r="B34" s="13">
        <f>IF(B2&gt;B$17,1,0)</f>
        <v>0</v>
      </c>
      <c r="C34" s="13">
        <f t="shared" ref="C34:F34" si="33">IF(C2&gt;C$17,1,0)</f>
        <v>1</v>
      </c>
      <c r="D34" s="13">
        <f t="shared" si="33"/>
        <v>1</v>
      </c>
      <c r="E34" s="13">
        <f t="shared" si="33"/>
        <v>1</v>
      </c>
      <c r="F34" s="13">
        <f t="shared" si="33"/>
        <v>1</v>
      </c>
      <c r="G34" s="13">
        <f>IFERROR((IF(G2&gt;G$16,1,0)),"")</f>
        <v>0</v>
      </c>
      <c r="H34" s="13">
        <f t="shared" ref="H34:L34" si="34">IFERROR((IF(H2&gt;H$16,1,0)),"")</f>
        <v>0</v>
      </c>
      <c r="I34" s="13">
        <f t="shared" si="34"/>
        <v>0</v>
      </c>
      <c r="J34" s="13">
        <f t="shared" si="34"/>
        <v>1</v>
      </c>
      <c r="K34" s="13" t="str">
        <f t="shared" si="34"/>
        <v/>
      </c>
      <c r="L34" s="13" t="str">
        <f t="shared" si="34"/>
        <v/>
      </c>
      <c r="M34" s="13" t="str">
        <f>IFERROR((IF(M2&gt;M$16,1,0)),"")</f>
        <v/>
      </c>
      <c r="N34" s="13">
        <f>SUM(B34:M34)</f>
        <v>5</v>
      </c>
    </row>
    <row r="35" spans="1:14" x14ac:dyDescent="0.3">
      <c r="A35" s="7" t="s">
        <v>7</v>
      </c>
      <c r="B35" s="13">
        <f t="shared" ref="B35:F35" si="35">IF(B3&gt;B$17,1,0)</f>
        <v>1</v>
      </c>
      <c r="C35" s="13">
        <f t="shared" si="35"/>
        <v>0</v>
      </c>
      <c r="D35" s="13">
        <f t="shared" si="35"/>
        <v>0</v>
      </c>
      <c r="E35" s="13">
        <f t="shared" si="35"/>
        <v>0</v>
      </c>
      <c r="F35" s="13">
        <f t="shared" si="35"/>
        <v>0</v>
      </c>
      <c r="G35" s="13">
        <f t="shared" ref="G35:M47" si="36">IFERROR((IF(G3&gt;G$16,1,0)),"")</f>
        <v>1</v>
      </c>
      <c r="H35" s="13">
        <f t="shared" si="36"/>
        <v>1</v>
      </c>
      <c r="I35" s="13">
        <f t="shared" si="36"/>
        <v>0</v>
      </c>
      <c r="J35" s="13">
        <f t="shared" si="36"/>
        <v>1</v>
      </c>
      <c r="K35" s="13" t="str">
        <f t="shared" si="36"/>
        <v/>
      </c>
      <c r="L35" s="13" t="str">
        <f t="shared" si="36"/>
        <v/>
      </c>
      <c r="M35" s="13" t="str">
        <f t="shared" si="36"/>
        <v/>
      </c>
      <c r="N35" s="13">
        <f t="shared" ref="N35:N47" si="37">SUM(B35:M35)</f>
        <v>4</v>
      </c>
    </row>
    <row r="36" spans="1:14" x14ac:dyDescent="0.3">
      <c r="A36" s="7" t="s">
        <v>9</v>
      </c>
      <c r="B36" s="13">
        <f t="shared" ref="B36:F36" si="38">IF(B4&gt;B$17,1,0)</f>
        <v>0</v>
      </c>
      <c r="C36" s="13">
        <f t="shared" si="38"/>
        <v>1</v>
      </c>
      <c r="D36" s="13">
        <f t="shared" si="38"/>
        <v>0</v>
      </c>
      <c r="E36" s="13">
        <f t="shared" si="38"/>
        <v>0</v>
      </c>
      <c r="F36" s="13">
        <f t="shared" si="38"/>
        <v>1</v>
      </c>
      <c r="G36" s="13">
        <f t="shared" si="36"/>
        <v>1</v>
      </c>
      <c r="H36" s="13">
        <f t="shared" si="36"/>
        <v>0</v>
      </c>
      <c r="I36" s="13">
        <f t="shared" si="36"/>
        <v>1</v>
      </c>
      <c r="J36" s="13">
        <f t="shared" si="36"/>
        <v>0</v>
      </c>
      <c r="K36" s="13" t="str">
        <f t="shared" si="36"/>
        <v/>
      </c>
      <c r="L36" s="13" t="str">
        <f t="shared" si="36"/>
        <v/>
      </c>
      <c r="M36" s="13" t="str">
        <f t="shared" si="36"/>
        <v/>
      </c>
      <c r="N36" s="13">
        <f t="shared" si="37"/>
        <v>4</v>
      </c>
    </row>
    <row r="37" spans="1:14" x14ac:dyDescent="0.3">
      <c r="A37" s="7" t="s">
        <v>11</v>
      </c>
      <c r="B37" s="13">
        <f t="shared" ref="B37:F37" si="39">IF(B5&gt;B$17,1,0)</f>
        <v>0</v>
      </c>
      <c r="C37" s="13">
        <f t="shared" si="39"/>
        <v>1</v>
      </c>
      <c r="D37" s="13">
        <f t="shared" si="39"/>
        <v>1</v>
      </c>
      <c r="E37" s="13">
        <f t="shared" si="39"/>
        <v>1</v>
      </c>
      <c r="F37" s="13">
        <f t="shared" si="39"/>
        <v>0</v>
      </c>
      <c r="G37" s="13">
        <f t="shared" si="36"/>
        <v>0</v>
      </c>
      <c r="H37" s="13">
        <f t="shared" si="36"/>
        <v>1</v>
      </c>
      <c r="I37" s="13">
        <f t="shared" si="36"/>
        <v>1</v>
      </c>
      <c r="J37" s="13">
        <f t="shared" si="36"/>
        <v>1</v>
      </c>
      <c r="K37" s="13" t="str">
        <f t="shared" si="36"/>
        <v/>
      </c>
      <c r="L37" s="13" t="str">
        <f t="shared" si="36"/>
        <v/>
      </c>
      <c r="M37" s="13" t="str">
        <f t="shared" si="36"/>
        <v/>
      </c>
      <c r="N37" s="13">
        <f t="shared" si="37"/>
        <v>6</v>
      </c>
    </row>
    <row r="38" spans="1:14" x14ac:dyDescent="0.3">
      <c r="A38" s="7" t="s">
        <v>13</v>
      </c>
      <c r="B38" s="13">
        <f t="shared" ref="B38:F38" si="40">IF(B6&gt;B$17,1,0)</f>
        <v>0</v>
      </c>
      <c r="C38" s="13">
        <f t="shared" si="40"/>
        <v>0</v>
      </c>
      <c r="D38" s="13">
        <f t="shared" si="40"/>
        <v>1</v>
      </c>
      <c r="E38" s="13">
        <f t="shared" si="40"/>
        <v>0</v>
      </c>
      <c r="F38" s="13">
        <f t="shared" si="40"/>
        <v>0</v>
      </c>
      <c r="G38" s="13">
        <f t="shared" si="36"/>
        <v>0</v>
      </c>
      <c r="H38" s="13">
        <f t="shared" si="36"/>
        <v>0</v>
      </c>
      <c r="I38" s="13">
        <f t="shared" si="36"/>
        <v>1</v>
      </c>
      <c r="J38" s="13">
        <f t="shared" si="36"/>
        <v>0</v>
      </c>
      <c r="K38" s="13" t="str">
        <f t="shared" si="36"/>
        <v/>
      </c>
      <c r="L38" s="13" t="str">
        <f t="shared" si="36"/>
        <v/>
      </c>
      <c r="M38" s="13" t="str">
        <f t="shared" si="36"/>
        <v/>
      </c>
      <c r="N38" s="13">
        <f t="shared" si="37"/>
        <v>2</v>
      </c>
    </row>
    <row r="39" spans="1:14" x14ac:dyDescent="0.3">
      <c r="A39" s="7" t="s">
        <v>15</v>
      </c>
      <c r="B39" s="13">
        <f t="shared" ref="B39:F39" si="41">IF(B7&gt;B$17,1,0)</f>
        <v>0</v>
      </c>
      <c r="C39" s="13">
        <f t="shared" si="41"/>
        <v>0</v>
      </c>
      <c r="D39" s="13">
        <f t="shared" si="41"/>
        <v>1</v>
      </c>
      <c r="E39" s="13">
        <f t="shared" si="41"/>
        <v>1</v>
      </c>
      <c r="F39" s="13">
        <f t="shared" si="41"/>
        <v>0</v>
      </c>
      <c r="G39" s="13">
        <f t="shared" si="36"/>
        <v>1</v>
      </c>
      <c r="H39" s="13">
        <f t="shared" si="36"/>
        <v>1</v>
      </c>
      <c r="I39" s="13">
        <f t="shared" si="36"/>
        <v>0</v>
      </c>
      <c r="J39" s="13">
        <f t="shared" si="36"/>
        <v>1</v>
      </c>
      <c r="K39" s="13" t="str">
        <f t="shared" si="36"/>
        <v/>
      </c>
      <c r="L39" s="13" t="str">
        <f t="shared" si="36"/>
        <v/>
      </c>
      <c r="M39" s="13" t="str">
        <f t="shared" si="36"/>
        <v/>
      </c>
      <c r="N39" s="13">
        <f t="shared" si="37"/>
        <v>5</v>
      </c>
    </row>
    <row r="40" spans="1:14" x14ac:dyDescent="0.3">
      <c r="A40" s="7" t="s">
        <v>17</v>
      </c>
      <c r="B40" s="13">
        <f t="shared" ref="B40:F40" si="42">IF(B8&gt;B$17,1,0)</f>
        <v>1</v>
      </c>
      <c r="C40" s="13">
        <f t="shared" si="42"/>
        <v>0</v>
      </c>
      <c r="D40" s="13">
        <f t="shared" si="42"/>
        <v>1</v>
      </c>
      <c r="E40" s="13">
        <f t="shared" si="42"/>
        <v>1</v>
      </c>
      <c r="F40" s="13">
        <f t="shared" si="42"/>
        <v>1</v>
      </c>
      <c r="G40" s="13">
        <f t="shared" si="36"/>
        <v>0</v>
      </c>
      <c r="H40" s="13">
        <f t="shared" si="36"/>
        <v>1</v>
      </c>
      <c r="I40" s="13">
        <f t="shared" si="36"/>
        <v>1</v>
      </c>
      <c r="J40" s="13">
        <f t="shared" si="36"/>
        <v>1</v>
      </c>
      <c r="K40" s="13" t="str">
        <f t="shared" si="36"/>
        <v/>
      </c>
      <c r="L40" s="13" t="str">
        <f t="shared" si="36"/>
        <v/>
      </c>
      <c r="M40" s="13" t="str">
        <f t="shared" si="36"/>
        <v/>
      </c>
      <c r="N40" s="13">
        <f t="shared" si="37"/>
        <v>7</v>
      </c>
    </row>
    <row r="41" spans="1:14" x14ac:dyDescent="0.3">
      <c r="A41" s="7" t="s">
        <v>6</v>
      </c>
      <c r="B41" s="13">
        <f t="shared" ref="B41:F41" si="43">IF(B9&gt;B$17,1,0)</f>
        <v>0</v>
      </c>
      <c r="C41" s="13">
        <f t="shared" si="43"/>
        <v>1</v>
      </c>
      <c r="D41" s="13">
        <f t="shared" si="43"/>
        <v>0</v>
      </c>
      <c r="E41" s="13">
        <f t="shared" si="43"/>
        <v>1</v>
      </c>
      <c r="F41" s="13">
        <f t="shared" si="43"/>
        <v>1</v>
      </c>
      <c r="G41" s="13">
        <f t="shared" si="36"/>
        <v>1</v>
      </c>
      <c r="H41" s="13">
        <f t="shared" si="36"/>
        <v>0</v>
      </c>
      <c r="I41" s="13">
        <f t="shared" si="36"/>
        <v>1</v>
      </c>
      <c r="J41" s="13">
        <f t="shared" si="36"/>
        <v>0</v>
      </c>
      <c r="K41" s="13" t="str">
        <f t="shared" si="36"/>
        <v/>
      </c>
      <c r="L41" s="13" t="str">
        <f t="shared" si="36"/>
        <v/>
      </c>
      <c r="M41" s="13" t="str">
        <f t="shared" si="36"/>
        <v/>
      </c>
      <c r="N41" s="13">
        <f t="shared" si="37"/>
        <v>5</v>
      </c>
    </row>
    <row r="42" spans="1:14" x14ac:dyDescent="0.3">
      <c r="A42" s="7" t="s">
        <v>8</v>
      </c>
      <c r="B42" s="13">
        <f t="shared" ref="B42:F42" si="44">IF(B10&gt;B$17,1,0)</f>
        <v>1</v>
      </c>
      <c r="C42" s="13">
        <f t="shared" si="44"/>
        <v>0</v>
      </c>
      <c r="D42" s="13">
        <f t="shared" si="44"/>
        <v>1</v>
      </c>
      <c r="E42" s="13">
        <f t="shared" si="44"/>
        <v>1</v>
      </c>
      <c r="F42" s="13">
        <f t="shared" si="44"/>
        <v>1</v>
      </c>
      <c r="G42" s="13">
        <f t="shared" si="36"/>
        <v>1</v>
      </c>
      <c r="H42" s="13">
        <f t="shared" si="36"/>
        <v>1</v>
      </c>
      <c r="I42" s="13">
        <f t="shared" si="36"/>
        <v>0</v>
      </c>
      <c r="J42" s="13">
        <f t="shared" si="36"/>
        <v>0</v>
      </c>
      <c r="K42" s="13" t="str">
        <f t="shared" si="36"/>
        <v/>
      </c>
      <c r="L42" s="13" t="str">
        <f t="shared" si="36"/>
        <v/>
      </c>
      <c r="M42" s="13" t="str">
        <f t="shared" si="36"/>
        <v/>
      </c>
      <c r="N42" s="13">
        <f t="shared" si="37"/>
        <v>6</v>
      </c>
    </row>
    <row r="43" spans="1:14" x14ac:dyDescent="0.3">
      <c r="A43" s="7" t="s">
        <v>10</v>
      </c>
      <c r="B43" s="13">
        <f t="shared" ref="B43:F43" si="45">IF(B11&gt;B$17,1,0)</f>
        <v>0</v>
      </c>
      <c r="C43" s="13">
        <f t="shared" si="45"/>
        <v>0</v>
      </c>
      <c r="D43" s="13">
        <f t="shared" si="45"/>
        <v>1</v>
      </c>
      <c r="E43" s="13">
        <f t="shared" si="45"/>
        <v>0</v>
      </c>
      <c r="F43" s="13">
        <f t="shared" si="45"/>
        <v>0</v>
      </c>
      <c r="G43" s="13">
        <f t="shared" si="36"/>
        <v>1</v>
      </c>
      <c r="H43" s="13">
        <f t="shared" si="36"/>
        <v>0</v>
      </c>
      <c r="I43" s="13">
        <f t="shared" si="36"/>
        <v>0</v>
      </c>
      <c r="J43" s="13">
        <f t="shared" si="36"/>
        <v>0</v>
      </c>
      <c r="K43" s="13" t="str">
        <f t="shared" si="36"/>
        <v/>
      </c>
      <c r="L43" s="13" t="str">
        <f t="shared" si="36"/>
        <v/>
      </c>
      <c r="M43" s="13" t="str">
        <f t="shared" si="36"/>
        <v/>
      </c>
      <c r="N43" s="13">
        <f t="shared" si="37"/>
        <v>2</v>
      </c>
    </row>
    <row r="44" spans="1:14" x14ac:dyDescent="0.3">
      <c r="A44" s="7" t="s">
        <v>12</v>
      </c>
      <c r="B44" s="13">
        <f t="shared" ref="B44:F44" si="46">IF(B12&gt;B$17,1,0)</f>
        <v>0</v>
      </c>
      <c r="C44" s="13">
        <f t="shared" si="46"/>
        <v>1</v>
      </c>
      <c r="D44" s="13">
        <f t="shared" si="46"/>
        <v>0</v>
      </c>
      <c r="E44" s="13">
        <f t="shared" si="46"/>
        <v>0</v>
      </c>
      <c r="F44" s="13">
        <f t="shared" si="46"/>
        <v>0</v>
      </c>
      <c r="G44" s="13">
        <f t="shared" si="36"/>
        <v>1</v>
      </c>
      <c r="H44" s="13">
        <f t="shared" si="36"/>
        <v>1</v>
      </c>
      <c r="I44" s="13">
        <f t="shared" si="36"/>
        <v>1</v>
      </c>
      <c r="J44" s="13">
        <f t="shared" si="36"/>
        <v>1</v>
      </c>
      <c r="K44" s="13" t="str">
        <f t="shared" si="36"/>
        <v/>
      </c>
      <c r="L44" s="13" t="str">
        <f t="shared" si="36"/>
        <v/>
      </c>
      <c r="M44" s="13" t="str">
        <f t="shared" si="36"/>
        <v/>
      </c>
      <c r="N44" s="13">
        <f t="shared" si="37"/>
        <v>5</v>
      </c>
    </row>
    <row r="45" spans="1:14" x14ac:dyDescent="0.3">
      <c r="A45" s="7" t="s">
        <v>14</v>
      </c>
      <c r="B45" s="13">
        <f t="shared" ref="B45:F45" si="47">IF(B13&gt;B$17,1,0)</f>
        <v>0</v>
      </c>
      <c r="C45" s="13">
        <f t="shared" si="47"/>
        <v>0</v>
      </c>
      <c r="D45" s="13">
        <f t="shared" si="47"/>
        <v>0</v>
      </c>
      <c r="E45" s="13">
        <f t="shared" si="47"/>
        <v>0</v>
      </c>
      <c r="F45" s="13">
        <f t="shared" si="47"/>
        <v>1</v>
      </c>
      <c r="G45" s="13">
        <f t="shared" si="36"/>
        <v>0</v>
      </c>
      <c r="H45" s="13">
        <f t="shared" si="36"/>
        <v>0</v>
      </c>
      <c r="I45" s="13">
        <f t="shared" si="36"/>
        <v>0</v>
      </c>
      <c r="J45" s="13">
        <f t="shared" si="36"/>
        <v>0</v>
      </c>
      <c r="K45" s="13" t="str">
        <f t="shared" si="36"/>
        <v/>
      </c>
      <c r="L45" s="13" t="str">
        <f t="shared" si="36"/>
        <v/>
      </c>
      <c r="M45" s="13" t="str">
        <f t="shared" si="36"/>
        <v/>
      </c>
      <c r="N45" s="13">
        <f t="shared" si="37"/>
        <v>1</v>
      </c>
    </row>
    <row r="46" spans="1:14" x14ac:dyDescent="0.3">
      <c r="A46" s="7" t="s">
        <v>16</v>
      </c>
      <c r="B46" s="13">
        <f t="shared" ref="B46:F46" si="48">IF(B14&gt;B$17,1,0)</f>
        <v>1</v>
      </c>
      <c r="C46" s="13">
        <f t="shared" si="48"/>
        <v>0</v>
      </c>
      <c r="D46" s="13">
        <f t="shared" si="48"/>
        <v>1</v>
      </c>
      <c r="E46" s="13">
        <f t="shared" si="48"/>
        <v>1</v>
      </c>
      <c r="F46" s="13">
        <f t="shared" si="48"/>
        <v>1</v>
      </c>
      <c r="G46" s="13">
        <f t="shared" si="36"/>
        <v>0</v>
      </c>
      <c r="H46" s="13">
        <f t="shared" si="36"/>
        <v>1</v>
      </c>
      <c r="I46" s="13">
        <f t="shared" si="36"/>
        <v>0</v>
      </c>
      <c r="J46" s="13">
        <f t="shared" si="36"/>
        <v>1</v>
      </c>
      <c r="K46" s="13" t="str">
        <f t="shared" si="36"/>
        <v/>
      </c>
      <c r="L46" s="13" t="str">
        <f t="shared" si="36"/>
        <v/>
      </c>
      <c r="M46" s="13" t="str">
        <f t="shared" si="36"/>
        <v/>
      </c>
      <c r="N46" s="13">
        <f t="shared" si="37"/>
        <v>6</v>
      </c>
    </row>
    <row r="47" spans="1:14" ht="15" thickBot="1" x14ac:dyDescent="0.35">
      <c r="A47" s="9" t="s">
        <v>18</v>
      </c>
      <c r="B47" s="13">
        <f t="shared" ref="B47:F47" si="49">IF(B15&gt;B$17,1,0)</f>
        <v>0</v>
      </c>
      <c r="C47" s="13">
        <f t="shared" si="49"/>
        <v>0</v>
      </c>
      <c r="D47" s="13">
        <f t="shared" si="49"/>
        <v>0</v>
      </c>
      <c r="E47" s="13">
        <f t="shared" si="49"/>
        <v>0</v>
      </c>
      <c r="F47" s="13">
        <f t="shared" si="49"/>
        <v>0</v>
      </c>
      <c r="G47" s="13">
        <f t="shared" si="36"/>
        <v>0</v>
      </c>
      <c r="H47" s="13">
        <f t="shared" si="36"/>
        <v>0</v>
      </c>
      <c r="I47" s="13">
        <f t="shared" si="36"/>
        <v>1</v>
      </c>
      <c r="J47" s="13">
        <f t="shared" si="36"/>
        <v>0</v>
      </c>
      <c r="K47" s="13" t="str">
        <f t="shared" si="36"/>
        <v/>
      </c>
      <c r="L47" s="13" t="str">
        <f t="shared" si="36"/>
        <v/>
      </c>
      <c r="M47" s="13" t="str">
        <f t="shared" si="36"/>
        <v/>
      </c>
      <c r="N47" s="13">
        <f t="shared" si="37"/>
        <v>1</v>
      </c>
    </row>
  </sheetData>
  <conditionalFormatting sqref="AI2:AI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MatchResults</vt:lpstr>
      <vt:lpstr>ByPlayer</vt:lpstr>
      <vt:lpstr>Intermediate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</dc:creator>
  <cp:lastModifiedBy>Rik</cp:lastModifiedBy>
  <dcterms:created xsi:type="dcterms:W3CDTF">2017-09-21T17:35:46Z</dcterms:created>
  <dcterms:modified xsi:type="dcterms:W3CDTF">2017-11-07T17:34:15Z</dcterms:modified>
</cp:coreProperties>
</file>